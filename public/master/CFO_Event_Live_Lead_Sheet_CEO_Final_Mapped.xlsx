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tecnoprism-my.sharepoint.com/personal/simranleen_kaur_tecnoprism_com/Documents/Documents/My DB/"/>
    </mc:Choice>
  </mc:AlternateContent>
  <xr:revisionPtr revIDLastSave="447" documentId="8_{8739C30D-DF7B-4447-9421-B9CF4AF7CD58}" xr6:coauthVersionLast="47" xr6:coauthVersionMax="47" xr10:uidLastSave="{D322FA3E-4956-4ABE-AE8C-E8FD4A80CF3A}"/>
  <bookViews>
    <workbookView xWindow="-108" yWindow="-108" windowWidth="23256" windowHeight="12456" xr2:uid="{00000000-000D-0000-FFFF-FFFF00000000}"/>
  </bookViews>
  <sheets>
    <sheet name="Lead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H5" i="1"/>
  <c r="H38" i="1"/>
  <c r="H40" i="1"/>
  <c r="H28" i="1"/>
  <c r="H33" i="1"/>
  <c r="H36" i="1"/>
  <c r="H37" i="1"/>
  <c r="H31" i="1"/>
  <c r="H30" i="1"/>
  <c r="H29" i="1"/>
  <c r="H27" i="1"/>
  <c r="H26" i="1"/>
  <c r="H25" i="1"/>
  <c r="H24" i="1"/>
  <c r="H23" i="1"/>
  <c r="H22" i="1"/>
  <c r="H21" i="1"/>
  <c r="H19" i="1"/>
  <c r="H16" i="1"/>
  <c r="H15" i="1"/>
  <c r="H13" i="1"/>
  <c r="H12" i="1"/>
  <c r="H11" i="1"/>
  <c r="H10" i="1"/>
  <c r="H9" i="1"/>
  <c r="H8" i="1"/>
  <c r="H7" i="1"/>
  <c r="H6" i="1"/>
  <c r="H4" i="1"/>
  <c r="H3" i="1"/>
  <c r="H2" i="1"/>
</calcChain>
</file>

<file path=xl/sharedStrings.xml><?xml version="1.0" encoding="utf-8"?>
<sst xmlns="http://schemas.openxmlformats.org/spreadsheetml/2006/main" count="412" uniqueCount="247">
  <si>
    <t>Name</t>
  </si>
  <si>
    <t>Company</t>
  </si>
  <si>
    <t>Designation</t>
  </si>
  <si>
    <t>Importance / Existing Contact</t>
  </si>
  <si>
    <t>Notes</t>
  </si>
  <si>
    <t>Email ID</t>
  </si>
  <si>
    <t>Contact No.</t>
  </si>
  <si>
    <t>LinkedIn</t>
  </si>
  <si>
    <t>Connector</t>
  </si>
  <si>
    <t>Ownership</t>
  </si>
  <si>
    <t>Stage</t>
  </si>
  <si>
    <t xml:space="preserve">Action </t>
  </si>
  <si>
    <t>Follow-up Briefs</t>
  </si>
  <si>
    <t>Current Status</t>
  </si>
  <si>
    <t>Further Follow up</t>
  </si>
  <si>
    <t>Sudhir Nayak</t>
  </si>
  <si>
    <t>Reliance Industry Limited</t>
  </si>
  <si>
    <t>Sr. VP &amp; Head - Finance</t>
  </si>
  <si>
    <t>HOT</t>
  </si>
  <si>
    <t>invoice processing demo by daljeet</t>
  </si>
  <si>
    <t>sudhir.nayak@ril.com</t>
  </si>
  <si>
    <t>Daljeet</t>
  </si>
  <si>
    <t>Pinali</t>
  </si>
  <si>
    <t>Qualified</t>
  </si>
  <si>
    <t>Meeting done</t>
  </si>
  <si>
    <t>21st May- Meet at 11:30AM</t>
  </si>
  <si>
    <t xml:space="preserve">Long shot will probably take 6 months </t>
  </si>
  <si>
    <t xml:space="preserve">Sent a follow up mail and linkedin as per the comment </t>
  </si>
  <si>
    <t>Discovery</t>
  </si>
  <si>
    <t>Giya Diwaan</t>
  </si>
  <si>
    <t>Trilegal</t>
  </si>
  <si>
    <t>CFO</t>
  </si>
  <si>
    <t>Panelist with Daljeet (follow up)</t>
  </si>
  <si>
    <t>Giya.diwaan@trilegal.com</t>
  </si>
  <si>
    <t>Emailed</t>
  </si>
  <si>
    <t>Arun kabra</t>
  </si>
  <si>
    <t>Times group</t>
  </si>
  <si>
    <t>arun.kabra@timesgroup.com</t>
  </si>
  <si>
    <t>Pilot</t>
  </si>
  <si>
    <t>Karn shah</t>
  </si>
  <si>
    <t>NTT data</t>
  </si>
  <si>
    <t>Manager- Taxation</t>
  </si>
  <si>
    <t>Automation of HSNcode and taxation</t>
  </si>
  <si>
    <t>k.shah@global.ntt</t>
  </si>
  <si>
    <t>Proposal</t>
  </si>
  <si>
    <t>Ameet Koomar</t>
  </si>
  <si>
    <t>Semolina Kitchens, JV of Adani Airport</t>
  </si>
  <si>
    <t>ameet.koomar-skpl@adani.com(9971812896)</t>
  </si>
  <si>
    <t>from panelist create a dashboard for AP process</t>
  </si>
  <si>
    <t>ameet.koomar-skpl@adani.com</t>
  </si>
  <si>
    <t>Value Negotiation</t>
  </si>
  <si>
    <t>Manoj Agarwal</t>
  </si>
  <si>
    <t>Kalpataru</t>
  </si>
  <si>
    <t>Senior Vice President Finance &amp; Accounts</t>
  </si>
  <si>
    <t>from panelist</t>
  </si>
  <si>
    <t>manoj.agarwal@kalpataru.com</t>
  </si>
  <si>
    <t xml:space="preserve">Closed Lost </t>
  </si>
  <si>
    <t>Keshav Loyalka</t>
  </si>
  <si>
    <t>L&amp;T Finance</t>
  </si>
  <si>
    <t>Group Finance Controller</t>
  </si>
  <si>
    <t>keshavloyalka@ltfs.com</t>
  </si>
  <si>
    <t>Mayur Sanklecha</t>
  </si>
  <si>
    <t>Just Deliveries</t>
  </si>
  <si>
    <t>GM Finance</t>
  </si>
  <si>
    <t>He will connect with his CTO</t>
  </si>
  <si>
    <t>mayur.sanklecha@jdindia.co.in</t>
  </si>
  <si>
    <t>Shashank</t>
  </si>
  <si>
    <t>Called</t>
  </si>
  <si>
    <t>They have hired team to do Automation and AI internally.</t>
  </si>
  <si>
    <t>Ashwin Maheshwari</t>
  </si>
  <si>
    <t>CAM</t>
  </si>
  <si>
    <t>Send me a Pitch specific to our company by next week</t>
  </si>
  <si>
    <t>ashwin.maheshwari@cyrilshroff.com</t>
  </si>
  <si>
    <t xml:space="preserve">Emailed </t>
  </si>
  <si>
    <t xml:space="preserve"> Sent Legal &amp; Compliance Deck...Called - phone no picked up yet, call again tomorrow
21-05- WhatsApp - "Will revert at my free time"
22-05- He found "your proposal is timely and aligns well with where the industry is headed" but since CAM is not ready as of now for the AI and Automation he will reach out to me later.</t>
  </si>
  <si>
    <t>CAM is not ready for AI and Automation and would reach out when they think about it.</t>
  </si>
  <si>
    <t>Rahul Kejriwal</t>
  </si>
  <si>
    <t>Electrolux</t>
  </si>
  <si>
    <t>He will connect and has asked not to call him</t>
  </si>
  <si>
    <t>rahul.kejriwal@electrolux.com</t>
  </si>
  <si>
    <t>Sabyasachee Dash</t>
  </si>
  <si>
    <t>GSK India</t>
  </si>
  <si>
    <t>Tax Head - Corporate &amp; Indirect Tax Compliance</t>
  </si>
  <si>
    <t>He wants us to connect with him when our CoE product is live, or by next week. The company is aggressive about AI ecosystem, so if we can upgrade that will be great.</t>
  </si>
  <si>
    <t>sabyasachee.s.dash@gsk.com</t>
  </si>
  <si>
    <t xml:space="preserve"> Sent Automation CoE Deck...2 emails sent - called 3 times in total - no response yet. Sent whatsapp message today (25-05).
26-05- Connected on call, he was occupied, so asked to connect back tomorrow.</t>
  </si>
  <si>
    <t>Anand Sharda</t>
  </si>
  <si>
    <t>Sarveshwar Group</t>
  </si>
  <si>
    <t>cfo@sarveshwarrice.com</t>
  </si>
  <si>
    <t>No Response</t>
  </si>
  <si>
    <t>Jagannath Samal</t>
  </si>
  <si>
    <t>Medi Assist</t>
  </si>
  <si>
    <t>Asst. VP- Finance and Accounts</t>
  </si>
  <si>
    <t>jagannath.samal@mediassist.in</t>
  </si>
  <si>
    <t>He will get back to me by 28th May
26-05 - He has asked me to connect on Saturday 30-05 post 11:30 AM.
He will call me on Monday, 1st June. He will be directly booking my calendar for meeting.</t>
  </si>
  <si>
    <t>Charmi</t>
  </si>
  <si>
    <t>IDFC FIRST</t>
  </si>
  <si>
    <t>Manager</t>
  </si>
  <si>
    <t>she asked about AA…then shared her card</t>
  </si>
  <si>
    <t>charmi.gogri@idfcfirstbank.com</t>
  </si>
  <si>
    <t>simran</t>
  </si>
  <si>
    <t>Connecting with other poc from IDFC</t>
  </si>
  <si>
    <t>vadia bhupendra</t>
  </si>
  <si>
    <t>Torque</t>
  </si>
  <si>
    <t>senior vc</t>
  </si>
  <si>
    <t>he wants to get connected said nice presentation</t>
  </si>
  <si>
    <t>vadia.bhupendra@torqueinsure.com</t>
  </si>
  <si>
    <t xml:space="preserve">Not answering calls </t>
  </si>
  <si>
    <t>Mailed again</t>
  </si>
  <si>
    <t>Vishwaraj shettigar</t>
  </si>
  <si>
    <t>PRIDE</t>
  </si>
  <si>
    <t>Finance Manager</t>
  </si>
  <si>
    <t>he wants a demo on reporting</t>
  </si>
  <si>
    <t>mgrfinance.ho@pridehotel.com</t>
  </si>
  <si>
    <t>nf</t>
  </si>
  <si>
    <t xml:space="preserve">Cold </t>
  </si>
  <si>
    <t>Pradeep Tiwari</t>
  </si>
  <si>
    <t>Pride Hotels Ltd</t>
  </si>
  <si>
    <t>Meeting Done</t>
  </si>
  <si>
    <t>Connected via Non - attendees Apollo email sequence. Replied and then called from there</t>
  </si>
  <si>
    <t xml:space="preserve">29th May - Meet with shashank and Vartika </t>
  </si>
  <si>
    <t>"We are having discussion with the management . Once final , we will get back to you Sir." Their reply. Also the company doesn't seem to have enough budget for Automation and AI.</t>
  </si>
  <si>
    <t>Aftab Alam</t>
  </si>
  <si>
    <t>IQBAL DUDHWALA</t>
  </si>
  <si>
    <t>he will think on this and then connect by himself</t>
  </si>
  <si>
    <t>aalam@iqbaldudhwalagroup.com</t>
  </si>
  <si>
    <t>Simran</t>
  </si>
  <si>
    <t>Cold</t>
  </si>
  <si>
    <t>G Venkataraman</t>
  </si>
  <si>
    <t>IGPL</t>
  </si>
  <si>
    <t>SVP Corporate Finance</t>
  </si>
  <si>
    <t>He wants an email from our side by next week.</t>
  </si>
  <si>
    <t>gvenkat@igpetro.com</t>
  </si>
  <si>
    <t>https://www.linkedin.com/in/venkatraman-gopalakrishnan-47374a108/?originalSubdomain=in</t>
  </si>
  <si>
    <t>Busy in meet (Call or mail on Tuesday)</t>
  </si>
  <si>
    <t>Anand Mishra</t>
  </si>
  <si>
    <t>Blue star limited</t>
  </si>
  <si>
    <t>Manager - Corporate Taxation</t>
  </si>
  <si>
    <t>taken card</t>
  </si>
  <si>
    <t>anandmishra@bluestarindia.com</t>
  </si>
  <si>
    <t>Call not answered (Call on monday)</t>
  </si>
  <si>
    <t>Ankit morakhia</t>
  </si>
  <si>
    <t>kotak</t>
  </si>
  <si>
    <t>Vice President- Wholesale Banking into Finance</t>
  </si>
  <si>
    <t>ankit.morakhia@kotak.com</t>
  </si>
  <si>
    <t>Connect on 1st June and finalise meet</t>
  </si>
  <si>
    <t xml:space="preserve">Travelling for 2 days after that he'll confirm , Not answering calls </t>
  </si>
  <si>
    <t>Neeraj goenka</t>
  </si>
  <si>
    <t>TATA AIA</t>
  </si>
  <si>
    <t>VP Finance &amp; Taxation</t>
  </si>
  <si>
    <t>neeraj.goenka@tataaia.com</t>
  </si>
  <si>
    <t xml:space="preserve">Connect on Wednesday 27th may for meet confirmation </t>
  </si>
  <si>
    <t>Call not answered, Sent a text on whatsapp but no reply. Currently on vacation asked to call again on 15june.</t>
  </si>
  <si>
    <t>Krishan Badaya</t>
  </si>
  <si>
    <t>Writer information</t>
  </si>
  <si>
    <t>EVP &amp; CFO</t>
  </si>
  <si>
    <t>krishan.badaya@writerinformation.com</t>
  </si>
  <si>
    <t>He will connect to us after going through our profile (Follow up on mail?)</t>
  </si>
  <si>
    <t>Not looking for anything as of now.</t>
  </si>
  <si>
    <t>virendra p</t>
  </si>
  <si>
    <t>mswipe technologies</t>
  </si>
  <si>
    <t>finance controller</t>
  </si>
  <si>
    <t>CA event in Boribali (go for it)</t>
  </si>
  <si>
    <t>virendra.jain@mswipe.com</t>
  </si>
  <si>
    <t>kapil agarwal</t>
  </si>
  <si>
    <t>Sr GM - Indirect Tax Assurance</t>
  </si>
  <si>
    <t>Kapil.Agarwal@ril.com</t>
  </si>
  <si>
    <t>he forwarded mail to right poc (Follow up on mail?)</t>
  </si>
  <si>
    <t>Akhil agarwal</t>
  </si>
  <si>
    <t>sekura</t>
  </si>
  <si>
    <t>Financial Controller</t>
  </si>
  <si>
    <t>have to send mail</t>
  </si>
  <si>
    <t>Akhil.Agarwal@sekura.in</t>
  </si>
  <si>
    <t xml:space="preserve"> 22nd May- Meeting with co-founders at 3:00pm (Mumbai)</t>
  </si>
  <si>
    <t xml:space="preserve">Shared the Tracker waiting for the updates from there side </t>
  </si>
  <si>
    <t xml:space="preserve">Tapan sir said he will follow up as of now </t>
  </si>
  <si>
    <t>hani bangad</t>
  </si>
  <si>
    <t>GEP</t>
  </si>
  <si>
    <t>manager finance and accounts</t>
  </si>
  <si>
    <t>AR aginfg reports, microsoft dynamics</t>
  </si>
  <si>
    <t>hani.bangad@gep.com</t>
  </si>
  <si>
    <t xml:space="preserve">26th May- Meet with founders at 6pm (Call on monday) ...Meet went well, have to share some use cases regarding ( reporting and dynamics )  for there reference, then they will decide </t>
  </si>
  <si>
    <t>Shared the use cases for their refernce waiting for the response. 8th June Tried reaching out for a follow-up call, but no response.</t>
  </si>
  <si>
    <t>Lavrene Lewis</t>
  </si>
  <si>
    <t>DHL</t>
  </si>
  <si>
    <t>Head Fp&amp;A and Controlling</t>
  </si>
  <si>
    <t>Meeting to set AI based finance solutions</t>
  </si>
  <si>
    <t>lavrene.lewis@dhl.com</t>
  </si>
  <si>
    <t>Mayur Shibroor</t>
  </si>
  <si>
    <t>head finance</t>
  </si>
  <si>
    <t>Mayur.shibroor@idfcfirstbank.com</t>
  </si>
  <si>
    <t xml:space="preserve">Call not answered </t>
  </si>
  <si>
    <t>Vruti Kawa</t>
  </si>
  <si>
    <t>Megaplast India</t>
  </si>
  <si>
    <t>Finance &amp; Tax Manager</t>
  </si>
  <si>
    <t>Call Next Week</t>
  </si>
  <si>
    <t>ho.accounts@mega-group.in</t>
  </si>
  <si>
    <t xml:space="preserve">call not answered </t>
  </si>
  <si>
    <t xml:space="preserve">She will ask her CFO and will call back </t>
  </si>
  <si>
    <t xml:space="preserve"> </t>
  </si>
  <si>
    <t>Hitesh Vora</t>
  </si>
  <si>
    <t>Velvex</t>
  </si>
  <si>
    <t>just card sharing</t>
  </si>
  <si>
    <t>Hitesh.Vora@nandangroup.com</t>
  </si>
  <si>
    <t xml:space="preserve">Called  </t>
  </si>
  <si>
    <t>If there will be any requirement he will call back (Cold)</t>
  </si>
  <si>
    <t>Pushpak Bansal</t>
  </si>
  <si>
    <t>Deesan Group</t>
  </si>
  <si>
    <t>pushpak@deesangroup.com</t>
  </si>
  <si>
    <t xml:space="preserve">Tapan sir mailed ,simran mailed </t>
  </si>
  <si>
    <t>mukul agarwal</t>
  </si>
  <si>
    <t>one on one meet</t>
  </si>
  <si>
    <t>mukulagrawal@bharatpetroleum.in</t>
  </si>
  <si>
    <t>https://www.linkedin.com/in/mukul-agrawal-2095161a6/</t>
  </si>
  <si>
    <t>tapan</t>
  </si>
  <si>
    <t>Deepak agarwal</t>
  </si>
  <si>
    <t xml:space="preserve">one on one meet </t>
  </si>
  <si>
    <t>deepakagrawal001@bharatpetroleum.in</t>
  </si>
  <si>
    <t>https://linkedin.com/in/ACwAABRa-jUBGlaAEZWGsoHkGE_7HtdgZW1TWjk</t>
  </si>
  <si>
    <t>Neha joshi</t>
  </si>
  <si>
    <t>Signet EXCIPIENTS</t>
  </si>
  <si>
    <t>Finance Director</t>
  </si>
  <si>
    <t xml:space="preserve">solution of tecno </t>
  </si>
  <si>
    <t>neha.joshi@signetexcipients.com</t>
  </si>
  <si>
    <t>Tapan</t>
  </si>
  <si>
    <t>Closed Lost</t>
  </si>
  <si>
    <t>18th May- Meeting happened at 4pm ,demo done and will get back whenever they find an opportunity (Cold)</t>
  </si>
  <si>
    <t>Vinod Kumar mathur</t>
  </si>
  <si>
    <t>yokohama</t>
  </si>
  <si>
    <t>Director Finance</t>
  </si>
  <si>
    <t>meeting next week for AP processes</t>
  </si>
  <si>
    <t>vkmathur@yokohama-oht.com</t>
  </si>
  <si>
    <t>Ritesh bhansali</t>
  </si>
  <si>
    <t>NO AUTOMATION as of now, Spanish Invoices(next week) no card only contact with vartika</t>
  </si>
  <si>
    <t>rbhansali@yokohama-oht.com</t>
  </si>
  <si>
    <t xml:space="preserve">Meeting done </t>
  </si>
  <si>
    <t xml:space="preserve">22nd May - Meet  from 11AM to 1PM. Their finance, Sales predective analysis, IT and supply team will be present </t>
  </si>
  <si>
    <t>Growel</t>
  </si>
  <si>
    <t xml:space="preserve"> 27th May- Onsite Meeting  with CFO</t>
  </si>
  <si>
    <t xml:space="preserve">The status is similar to Sekura and Yokohama, it went well we showed use cases and asked them to share thier process details,
once they share we have to show them +ve ROI ( Tapan sir)
 </t>
  </si>
  <si>
    <t>Somdeo arya</t>
  </si>
  <si>
    <t>JSW Steel</t>
  </si>
  <si>
    <t>Deputy General Manager - Business Finance</t>
  </si>
  <si>
    <t>just connect on automation solutions meet next week,we have contact number</t>
  </si>
  <si>
    <t>somdeo.arya@Jsw.in</t>
  </si>
  <si>
    <t>Vartika</t>
  </si>
  <si>
    <t>Bharat Petrolium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</si>
</sst>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ont>
    <font>
      <sz val="11"/>
      <color theme="10"/>
      <name val="Aptos Narrow"/>
      <family val="2"/>
    </font>
    <font>
      <sz val="11"/>
      <color theme="1"/>
      <name val="Aptos Narrow"/>
      <family val="2"/>
    </font>
    <font>
      <sz val="11"/>
      <color rgb="FF242424"/>
      <name val="Aptos Narrow"/>
      <charset val="1"/>
    </font>
    <font>
      <sz val="11"/>
      <color rgb="FF000000"/>
      <name val="Aptos Narrow"/>
      <charset val="1"/>
    </font>
    <font>
      <sz val="11"/>
      <color rgb="FF000000"/>
      <name val="Calibri"/>
      <family val="2"/>
    </font>
    <font>
      <b/>
      <sz val="11"/>
      <color rgb="FF000000"/>
      <name val="Aptos Narrow"/>
      <family val="2"/>
    </font>
    <font>
      <sz val="11"/>
      <color rgb="FF000000"/>
      <name val="Aptos Narrow"/>
    </font>
  </fonts>
  <fills count="5">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4" tint="0.79998168889431442"/>
        <bgColor indexed="64"/>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2" borderId="1" xfId="0" applyFill="1" applyBorder="1" applyAlignment="1">
      <alignment wrapText="1"/>
    </xf>
    <xf numFmtId="0" fontId="1" fillId="2" borderId="0" xfId="0" applyFont="1" applyFill="1" applyAlignment="1">
      <alignment wrapText="1"/>
    </xf>
    <xf numFmtId="0" fontId="1" fillId="2" borderId="0" xfId="1" applyFill="1" applyAlignment="1">
      <alignment wrapText="1"/>
    </xf>
    <xf numFmtId="0" fontId="2" fillId="2" borderId="0" xfId="0" applyFont="1" applyFill="1" applyAlignment="1">
      <alignment wrapText="1"/>
    </xf>
    <xf numFmtId="0" fontId="5" fillId="2" borderId="2" xfId="0" applyFont="1" applyFill="1" applyBorder="1"/>
    <xf numFmtId="0" fontId="4" fillId="2" borderId="0" xfId="0" applyFont="1" applyFill="1"/>
    <xf numFmtId="0" fontId="3" fillId="2" borderId="0" xfId="0" applyFont="1" applyFill="1" applyAlignment="1">
      <alignment wrapText="1"/>
    </xf>
    <xf numFmtId="0" fontId="4" fillId="2" borderId="0" xfId="0" applyFont="1" applyFill="1" applyAlignment="1">
      <alignment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7" fillId="3" borderId="0" xfId="0" applyFont="1" applyFill="1"/>
    <xf numFmtId="0" fontId="0" fillId="4" borderId="0" xfId="0" applyFill="1" applyAlignment="1">
      <alignment wrapText="1"/>
    </xf>
    <xf numFmtId="0" fontId="0" fillId="4" borderId="1" xfId="0" applyFill="1" applyBorder="1" applyAlignment="1">
      <alignment wrapText="1"/>
    </xf>
    <xf numFmtId="0" fontId="0" fillId="4" borderId="0" xfId="0" applyFill="1"/>
    <xf numFmtId="0" fontId="1" fillId="4" borderId="0" xfId="0" applyFont="1" applyFill="1" applyAlignment="1">
      <alignment wrapText="1"/>
    </xf>
  </cellXfs>
  <cellStyles count="2">
    <cellStyle name="Hyperlink" xfId="1" xr:uid="{00000000-0005-0000-0000-000000000000}"/>
    <cellStyle name="Normal" xfId="0" builtinId="0"/>
  </cellStyles>
  <dxfs count="19">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ont>
        <color rgb="FF000000"/>
      </font>
      <fill>
        <patternFill patternType="solid">
          <fgColor indexed="64"/>
          <bgColor theme="5"/>
        </patternFill>
      </fill>
    </dxf>
    <dxf>
      <fill>
        <patternFill>
          <bgColor rgb="FFFFF2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LeadsTable" displayName="CleanLeadsTable" ref="A1:O41" headerRowDxfId="16" dataDxfId="15">
  <autoFilter ref="A1:O41" xr:uid="{00000000-0009-0000-0100-000001000000}"/>
  <sortState xmlns:xlrd2="http://schemas.microsoft.com/office/spreadsheetml/2017/richdata2" ref="A2:N41">
    <sortCondition ref="I1:I41"/>
  </sortState>
  <tableColumns count="15">
    <tableColumn id="1" xr3:uid="{00000000-0010-0000-0000-000001000000}" name="Name" dataDxfId="14"/>
    <tableColumn id="4" xr3:uid="{00000000-0010-0000-0000-000004000000}" name="Company" dataDxfId="13"/>
    <tableColumn id="2" xr3:uid="{00000000-0010-0000-0000-000002000000}" name="Designation" dataDxfId="12"/>
    <tableColumn id="3" xr3:uid="{00000000-0010-0000-0000-000003000000}" name="Importance / Existing Contact" dataDxfId="11"/>
    <tableColumn id="5" xr3:uid="{00000000-0010-0000-0000-000005000000}" name="Notes" dataDxfId="10"/>
    <tableColumn id="9" xr3:uid="{00000000-0010-0000-0000-000009000000}" name="Email ID" dataDxfId="9"/>
    <tableColumn id="10" xr3:uid="{00000000-0010-0000-0000-00000A000000}" name="Contact No." dataDxfId="8"/>
    <tableColumn id="11" xr3:uid="{00000000-0010-0000-0000-00000B000000}" name="LinkedIn" dataDxfId="7"/>
    <tableColumn id="6" xr3:uid="{00000000-0010-0000-0000-000006000000}" name="Connector" dataDxfId="6"/>
    <tableColumn id="14" xr3:uid="{F7CF2CB9-C8E7-4C3B-9B8B-01E06A8C31C2}" name="Ownership" dataDxfId="5"/>
    <tableColumn id="12" xr3:uid="{00000000-0010-0000-0000-00000C000000}" name="Stage" dataDxfId="4"/>
    <tableColumn id="7" xr3:uid="{00000000-0010-0000-0000-000007000000}" name="Action " dataDxfId="3"/>
    <tableColumn id="13" xr3:uid="{3A97F742-5FDC-4894-ADE0-BB9DBE5876BB}" name="Follow-up Briefs" dataDxfId="2"/>
    <tableColumn id="8" xr3:uid="{CE7460B0-EA0A-4970-BB16-C326D7275B41}" name="Current Status" dataDxfId="1"/>
    <tableColumn id="15" xr3:uid="{444C005C-99CC-4819-97EC-ECF498F7AF62}" name="Further Follow up"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06C2D9-92E9-46ED-915B-1455F6AA6878}">
  <we:reference id="WA200009404" version="1.0.0.8" store="en-us" storeType="omex"/>
  <we:alternateReferences>
    <we:reference id="WA200009404" version="1.0.0.8" store="en-us" storeType="omex"/>
  </we:alternateReferences>
  <we:properties>
    <we:property name="claude.fileId" value="&quot;1da81f07-8af3-4af5-8d95-a8f8c3d5800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mailto:manoj.agarwal@kalpataru.com" TargetMode="External"/><Relationship Id="rId2" Type="http://schemas.openxmlformats.org/officeDocument/2006/relationships/hyperlink" Target="mailto:Kapil.Agarwal@ril.com" TargetMode="External"/><Relationship Id="rId1" Type="http://schemas.openxmlformats.org/officeDocument/2006/relationships/hyperlink" Target="mailto:ashwin.maheshwari@cyrilshroff.com" TargetMode="External"/><Relationship Id="rId5" Type="http://schemas.openxmlformats.org/officeDocument/2006/relationships/table" Target="../tables/table1.xml"/><Relationship Id="rId4" Type="http://schemas.openxmlformats.org/officeDocument/2006/relationships/hyperlink" Target="mailto:pushpak@deesan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
  <sheetViews>
    <sheetView tabSelected="1" workbookViewId="0">
      <pane ySplit="1" topLeftCell="A2" activePane="bottomLeft" state="frozen"/>
      <selection pane="bottomLeft" activeCell="A3" sqref="A3:XFD3"/>
    </sheetView>
  </sheetViews>
  <sheetFormatPr defaultRowHeight="15" customHeight="1"/>
  <cols>
    <col min="1" max="1" width="22" customWidth="1"/>
    <col min="2" max="3" width="30" customWidth="1"/>
    <col min="4" max="4" width="41.5703125" customWidth="1"/>
    <col min="5" max="5" width="45" style="1" customWidth="1"/>
    <col min="6" max="6" width="32" customWidth="1"/>
    <col min="7" max="7" width="16" customWidth="1"/>
    <col min="8" max="8" width="36.28515625" customWidth="1"/>
    <col min="9" max="10" width="18" customWidth="1"/>
    <col min="11" max="11" width="14" customWidth="1"/>
    <col min="12" max="12" width="46.85546875" customWidth="1"/>
    <col min="13" max="13" width="59" style="1" customWidth="1"/>
    <col min="14" max="14" width="51.85546875" customWidth="1"/>
    <col min="15" max="15" width="49.85546875" customWidth="1"/>
  </cols>
  <sheetData>
    <row r="1" spans="1:25" s="14" customFormat="1" ht="19.149999999999999" customHeight="1">
      <c r="A1" s="12" t="s">
        <v>0</v>
      </c>
      <c r="B1" s="12" t="s">
        <v>1</v>
      </c>
      <c r="C1" s="12" t="s">
        <v>2</v>
      </c>
      <c r="D1" s="12" t="s">
        <v>3</v>
      </c>
      <c r="E1" s="12" t="s">
        <v>4</v>
      </c>
      <c r="F1" s="12" t="s">
        <v>5</v>
      </c>
      <c r="G1" s="12" t="s">
        <v>6</v>
      </c>
      <c r="H1" s="12" t="s">
        <v>7</v>
      </c>
      <c r="I1" s="12" t="s">
        <v>8</v>
      </c>
      <c r="J1" s="12" t="s">
        <v>9</v>
      </c>
      <c r="K1" s="12" t="s">
        <v>10</v>
      </c>
      <c r="L1" s="13" t="s">
        <v>11</v>
      </c>
      <c r="M1" s="12" t="s">
        <v>12</v>
      </c>
      <c r="N1" s="12" t="s">
        <v>13</v>
      </c>
      <c r="O1" s="12" t="s">
        <v>14</v>
      </c>
      <c r="Y1" s="14" t="s">
        <v>10</v>
      </c>
    </row>
    <row r="2" spans="1:25" s="17" customFormat="1" ht="24.4" customHeight="1">
      <c r="A2" s="15" t="s">
        <v>15</v>
      </c>
      <c r="B2" s="15" t="s">
        <v>16</v>
      </c>
      <c r="C2" s="15" t="s">
        <v>17</v>
      </c>
      <c r="D2" s="15" t="s">
        <v>18</v>
      </c>
      <c r="E2" s="15" t="s">
        <v>19</v>
      </c>
      <c r="F2" s="15" t="s">
        <v>20</v>
      </c>
      <c r="G2" s="15">
        <v>9867729649</v>
      </c>
      <c r="H2" s="15" t="str">
        <f>HYPERLINK("https://www.linkedin.com/in/sudhir-nayak-5225907/","LinkedIn")</f>
        <v>LinkedIn</v>
      </c>
      <c r="I2" s="15" t="s">
        <v>21</v>
      </c>
      <c r="J2" s="15" t="s">
        <v>22</v>
      </c>
      <c r="K2" s="15" t="s">
        <v>23</v>
      </c>
      <c r="L2" s="16" t="s">
        <v>24</v>
      </c>
      <c r="M2" s="15" t="s">
        <v>25</v>
      </c>
      <c r="N2" s="15" t="s">
        <v>26</v>
      </c>
      <c r="O2" s="15" t="s">
        <v>27</v>
      </c>
      <c r="Y2" s="17" t="s">
        <v>28</v>
      </c>
    </row>
    <row r="3" spans="1:25" s="17" customFormat="1" ht="24.4" customHeight="1">
      <c r="A3" s="15" t="s">
        <v>29</v>
      </c>
      <c r="B3" s="15" t="s">
        <v>30</v>
      </c>
      <c r="C3" s="15" t="s">
        <v>31</v>
      </c>
      <c r="D3" s="15"/>
      <c r="E3" s="15" t="s">
        <v>32</v>
      </c>
      <c r="F3" s="18" t="s">
        <v>33</v>
      </c>
      <c r="G3" s="15">
        <v>7208927317</v>
      </c>
      <c r="H3" s="15" t="str">
        <f>HYPERLINK("https://www.linkedin.com/in/giyadiwaan/","LinkedIn")</f>
        <v>LinkedIn</v>
      </c>
      <c r="I3" s="15" t="s">
        <v>21</v>
      </c>
      <c r="J3" s="15" t="s">
        <v>22</v>
      </c>
      <c r="K3" s="15" t="s">
        <v>28</v>
      </c>
      <c r="L3" s="16" t="s">
        <v>34</v>
      </c>
      <c r="M3" s="15"/>
      <c r="N3" s="15"/>
      <c r="O3" s="15" t="s">
        <v>27</v>
      </c>
      <c r="Y3" s="17" t="s">
        <v>23</v>
      </c>
    </row>
    <row r="4" spans="1:25" s="2" customFormat="1" ht="24.4" customHeight="1">
      <c r="A4" s="3" t="s">
        <v>35</v>
      </c>
      <c r="B4" s="3" t="s">
        <v>36</v>
      </c>
      <c r="C4" s="3" t="s">
        <v>31</v>
      </c>
      <c r="D4" s="3"/>
      <c r="E4" s="3" t="s">
        <v>32</v>
      </c>
      <c r="F4" s="3" t="s">
        <v>37</v>
      </c>
      <c r="G4" s="3">
        <v>9930599400</v>
      </c>
      <c r="H4" s="3" t="str">
        <f>HYPERLINK("https://www.linkedin.com/in/arun-kabra-04baaa6/","LinkedIn")</f>
        <v>LinkedIn</v>
      </c>
      <c r="I4" s="3" t="s">
        <v>21</v>
      </c>
      <c r="J4" s="3" t="s">
        <v>22</v>
      </c>
      <c r="K4" s="3" t="s">
        <v>28</v>
      </c>
      <c r="L4" s="4" t="s">
        <v>34</v>
      </c>
      <c r="M4" s="3"/>
      <c r="N4" s="3"/>
      <c r="O4" s="3"/>
      <c r="Y4" s="2" t="s">
        <v>38</v>
      </c>
    </row>
    <row r="5" spans="1:25" s="2" customFormat="1" ht="23.25" customHeight="1">
      <c r="A5" s="3" t="s">
        <v>39</v>
      </c>
      <c r="B5" s="3" t="s">
        <v>40</v>
      </c>
      <c r="C5" s="3" t="s">
        <v>41</v>
      </c>
      <c r="D5" s="3" t="s">
        <v>18</v>
      </c>
      <c r="E5" s="3" t="s">
        <v>42</v>
      </c>
      <c r="F5" s="3" t="s">
        <v>43</v>
      </c>
      <c r="G5" s="3">
        <v>9664687514</v>
      </c>
      <c r="H5" s="6" t="str">
        <f>HYPERLINK("https://www.linkedin.com/in/karan-shah-b2163544/","LinkedIn")</f>
        <v>LinkedIn</v>
      </c>
      <c r="I5" s="3" t="s">
        <v>21</v>
      </c>
      <c r="J5" s="3" t="s">
        <v>22</v>
      </c>
      <c r="K5" s="3" t="s">
        <v>28</v>
      </c>
      <c r="L5" s="4" t="s">
        <v>34</v>
      </c>
      <c r="M5" s="3"/>
      <c r="N5" s="3"/>
      <c r="O5" s="3"/>
      <c r="Y5" s="2" t="s">
        <v>44</v>
      </c>
    </row>
    <row r="6" spans="1:25" s="2" customFormat="1" ht="29.25">
      <c r="A6" s="3" t="s">
        <v>45</v>
      </c>
      <c r="B6" s="7" t="s">
        <v>46</v>
      </c>
      <c r="C6" s="3"/>
      <c r="D6" s="3" t="s">
        <v>47</v>
      </c>
      <c r="E6" s="3" t="s">
        <v>48</v>
      </c>
      <c r="F6" s="3" t="s">
        <v>49</v>
      </c>
      <c r="G6" s="3">
        <v>9971812896</v>
      </c>
      <c r="H6" s="3" t="str">
        <f>HYPERLINK("https://www.linkedin.com/in/ameet-koomar-003a9123/","LinkedIn")</f>
        <v>LinkedIn</v>
      </c>
      <c r="I6" s="3" t="s">
        <v>21</v>
      </c>
      <c r="J6" s="3" t="s">
        <v>22</v>
      </c>
      <c r="K6" s="3" t="s">
        <v>28</v>
      </c>
      <c r="L6" s="4" t="s">
        <v>34</v>
      </c>
      <c r="M6" s="3"/>
      <c r="N6" s="3"/>
      <c r="O6" s="3"/>
      <c r="Y6" s="2" t="s">
        <v>50</v>
      </c>
    </row>
    <row r="7" spans="1:25" s="2" customFormat="1" ht="33" customHeight="1">
      <c r="A7" s="3" t="s">
        <v>51</v>
      </c>
      <c r="B7" s="3" t="s">
        <v>52</v>
      </c>
      <c r="C7" s="3" t="s">
        <v>53</v>
      </c>
      <c r="D7" s="3"/>
      <c r="E7" s="3" t="s">
        <v>54</v>
      </c>
      <c r="F7" s="6" t="s">
        <v>55</v>
      </c>
      <c r="G7" s="3">
        <v>9323383590</v>
      </c>
      <c r="H7" s="3" t="str">
        <f>HYPERLINK("https://www.linkedin.com/in/manojagr21/","LinkedIn")</f>
        <v>LinkedIn</v>
      </c>
      <c r="I7" s="3" t="s">
        <v>21</v>
      </c>
      <c r="J7" s="3" t="s">
        <v>22</v>
      </c>
      <c r="K7" s="3" t="s">
        <v>28</v>
      </c>
      <c r="L7" s="4" t="s">
        <v>34</v>
      </c>
      <c r="M7" s="3"/>
      <c r="N7" s="3"/>
      <c r="O7" s="3"/>
      <c r="Y7" s="2" t="s">
        <v>56</v>
      </c>
    </row>
    <row r="8" spans="1:25" s="2" customFormat="1" ht="24.4" customHeight="1">
      <c r="A8" s="3" t="s">
        <v>57</v>
      </c>
      <c r="B8" s="3" t="s">
        <v>58</v>
      </c>
      <c r="C8" s="3" t="s">
        <v>59</v>
      </c>
      <c r="D8" s="3"/>
      <c r="E8" s="3" t="s">
        <v>54</v>
      </c>
      <c r="F8" s="3" t="s">
        <v>60</v>
      </c>
      <c r="G8" s="3">
        <v>9930060519</v>
      </c>
      <c r="H8" s="3" t="str">
        <f>HYPERLINK("https://www.linkedin.com/in/keshav-loyalka-4376aa23/?originalSubdomain=in","LinkedIn")</f>
        <v>LinkedIn</v>
      </c>
      <c r="I8" s="3" t="s">
        <v>21</v>
      </c>
      <c r="J8" s="3" t="s">
        <v>22</v>
      </c>
      <c r="K8" s="3" t="s">
        <v>28</v>
      </c>
      <c r="L8" s="4" t="s">
        <v>34</v>
      </c>
      <c r="M8" s="3"/>
      <c r="N8" s="3"/>
      <c r="O8" s="3"/>
    </row>
    <row r="9" spans="1:25" s="2" customFormat="1" ht="24" customHeight="1">
      <c r="A9" s="3" t="s">
        <v>61</v>
      </c>
      <c r="B9" s="3" t="s">
        <v>62</v>
      </c>
      <c r="C9" s="3" t="s">
        <v>63</v>
      </c>
      <c r="D9" s="3"/>
      <c r="E9" s="3" t="s">
        <v>64</v>
      </c>
      <c r="F9" s="3" t="s">
        <v>65</v>
      </c>
      <c r="G9" s="3">
        <v>9867799204</v>
      </c>
      <c r="H9" s="3" t="str">
        <f>HYPERLINK("https://www.linkedin.com/in/ca-mayur-s-a3339174/","LinkedIn")</f>
        <v>LinkedIn</v>
      </c>
      <c r="I9" s="3" t="s">
        <v>66</v>
      </c>
      <c r="J9" s="3" t="s">
        <v>22</v>
      </c>
      <c r="K9" s="3" t="s">
        <v>56</v>
      </c>
      <c r="L9" s="4" t="s">
        <v>67</v>
      </c>
      <c r="M9" s="3"/>
      <c r="N9" s="3" t="s">
        <v>68</v>
      </c>
      <c r="O9" s="3"/>
    </row>
    <row r="10" spans="1:25" s="2" customFormat="1" ht="87">
      <c r="A10" s="3" t="s">
        <v>69</v>
      </c>
      <c r="B10" s="3" t="s">
        <v>70</v>
      </c>
      <c r="C10" s="3" t="s">
        <v>31</v>
      </c>
      <c r="D10" s="3"/>
      <c r="E10" s="3" t="s">
        <v>71</v>
      </c>
      <c r="F10" s="6" t="s">
        <v>72</v>
      </c>
      <c r="G10" s="3">
        <v>9820236337</v>
      </c>
      <c r="H10" s="3" t="str">
        <f>HYPERLINK("https://www.linkedin.com/in/ashwin-maheshwari-b919152/","LinkedIn")</f>
        <v>LinkedIn</v>
      </c>
      <c r="I10" s="3" t="s">
        <v>66</v>
      </c>
      <c r="J10" s="3" t="s">
        <v>22</v>
      </c>
      <c r="K10" s="3" t="s">
        <v>56</v>
      </c>
      <c r="L10" s="4" t="s">
        <v>73</v>
      </c>
      <c r="M10" s="3" t="s">
        <v>74</v>
      </c>
      <c r="N10" s="3" t="s">
        <v>75</v>
      </c>
      <c r="O10" s="3"/>
    </row>
    <row r="11" spans="1:25" s="2" customFormat="1" ht="24.4" customHeight="1">
      <c r="A11" s="3" t="s">
        <v>76</v>
      </c>
      <c r="B11" s="3" t="s">
        <v>77</v>
      </c>
      <c r="C11" s="3" t="s">
        <v>31</v>
      </c>
      <c r="D11" s="3"/>
      <c r="E11" s="3" t="s">
        <v>78</v>
      </c>
      <c r="F11" s="3" t="s">
        <v>79</v>
      </c>
      <c r="G11" s="3">
        <v>9911945660</v>
      </c>
      <c r="H11" s="3" t="str">
        <f>HYPERLINK("https://in.linkedin.com/in/rahul-kejriwal-681a8018","LinkedIn")</f>
        <v>LinkedIn</v>
      </c>
      <c r="I11" s="3" t="s">
        <v>66</v>
      </c>
      <c r="J11" s="3" t="s">
        <v>22</v>
      </c>
      <c r="K11" s="3" t="s">
        <v>28</v>
      </c>
      <c r="L11" s="3" t="s">
        <v>34</v>
      </c>
      <c r="M11" s="3"/>
      <c r="N11" s="3"/>
      <c r="O11" s="3"/>
    </row>
    <row r="12" spans="1:25" s="2" customFormat="1" ht="57.75">
      <c r="A12" s="3" t="s">
        <v>80</v>
      </c>
      <c r="B12" s="3" t="s">
        <v>81</v>
      </c>
      <c r="C12" s="3" t="s">
        <v>82</v>
      </c>
      <c r="D12" s="3"/>
      <c r="E12" s="3" t="s">
        <v>83</v>
      </c>
      <c r="F12" s="3" t="s">
        <v>84</v>
      </c>
      <c r="G12" s="3">
        <v>9902748428</v>
      </c>
      <c r="H12" s="3" t="str">
        <f>HYPERLINK("https://linkedin.com/in/ACwAAAOu2mYBmNDtWQv4MfD3LBKjdiFkHhwnrcA","LinkedIn")</f>
        <v>LinkedIn</v>
      </c>
      <c r="I12" s="3" t="s">
        <v>66</v>
      </c>
      <c r="J12" s="3" t="s">
        <v>22</v>
      </c>
      <c r="K12" s="3" t="s">
        <v>28</v>
      </c>
      <c r="L12" s="3" t="s">
        <v>73</v>
      </c>
      <c r="M12" s="3" t="s">
        <v>85</v>
      </c>
      <c r="N12" s="3"/>
      <c r="O12" s="3"/>
    </row>
    <row r="13" spans="1:25" s="2" customFormat="1" ht="24.4" customHeight="1">
      <c r="A13" s="3" t="s">
        <v>86</v>
      </c>
      <c r="B13" s="3" t="s">
        <v>87</v>
      </c>
      <c r="C13" s="3" t="s">
        <v>31</v>
      </c>
      <c r="D13" s="3"/>
      <c r="E13" s="3"/>
      <c r="F13" s="3" t="s">
        <v>88</v>
      </c>
      <c r="G13" s="3">
        <v>9930450988</v>
      </c>
      <c r="H13" s="3" t="str">
        <f>HYPERLINK("https://www.linkedin.com/in/ca-anand-sharda-7a30871b/","LinkedIn")</f>
        <v>LinkedIn</v>
      </c>
      <c r="I13" s="3" t="s">
        <v>66</v>
      </c>
      <c r="J13" s="3" t="s">
        <v>22</v>
      </c>
      <c r="K13" s="3" t="s">
        <v>28</v>
      </c>
      <c r="L13" s="3" t="s">
        <v>34</v>
      </c>
      <c r="M13" s="3" t="s">
        <v>89</v>
      </c>
      <c r="N13" s="3"/>
      <c r="O13" s="3"/>
    </row>
    <row r="14" spans="1:25" s="2" customFormat="1" ht="72.75">
      <c r="A14" s="3" t="s">
        <v>90</v>
      </c>
      <c r="B14" s="3" t="s">
        <v>91</v>
      </c>
      <c r="C14" s="3" t="s">
        <v>92</v>
      </c>
      <c r="D14" s="3"/>
      <c r="E14" s="3"/>
      <c r="F14" s="3" t="s">
        <v>93</v>
      </c>
      <c r="G14" s="3">
        <v>7738324792</v>
      </c>
      <c r="H14" s="6" t="str">
        <f>HYPERLINK("https://www.linkedin.com/in/jagannath-samal-4912111a/?originalSubdomain=in","LinkedIn")</f>
        <v>LinkedIn</v>
      </c>
      <c r="I14" s="3" t="s">
        <v>66</v>
      </c>
      <c r="J14" s="3" t="s">
        <v>22</v>
      </c>
      <c r="K14" s="3" t="s">
        <v>28</v>
      </c>
      <c r="L14" s="3" t="s">
        <v>34</v>
      </c>
      <c r="M14" s="3" t="s">
        <v>94</v>
      </c>
      <c r="N14" s="3"/>
      <c r="O14" s="3"/>
    </row>
    <row r="15" spans="1:25" s="2" customFormat="1" ht="24.4" customHeight="1">
      <c r="A15" s="3" t="s">
        <v>95</v>
      </c>
      <c r="B15" s="3" t="s">
        <v>96</v>
      </c>
      <c r="C15" s="3" t="s">
        <v>97</v>
      </c>
      <c r="D15" s="3"/>
      <c r="E15" s="3" t="s">
        <v>98</v>
      </c>
      <c r="F15" s="3" t="s">
        <v>99</v>
      </c>
      <c r="G15" s="3">
        <v>8433749406</v>
      </c>
      <c r="H15" s="3" t="str">
        <f>HYPERLINK("https://www.linkedin.com/in/charmi-gogri-2a579b126/","LinkedIn")</f>
        <v>LinkedIn</v>
      </c>
      <c r="I15" s="3" t="s">
        <v>100</v>
      </c>
      <c r="J15" s="3" t="s">
        <v>22</v>
      </c>
      <c r="K15" s="3" t="s">
        <v>56</v>
      </c>
      <c r="L15" s="3" t="s">
        <v>34</v>
      </c>
      <c r="M15" s="3" t="s">
        <v>101</v>
      </c>
      <c r="N15" s="3"/>
      <c r="O15" s="3"/>
    </row>
    <row r="16" spans="1:25" s="2" customFormat="1" ht="24.4" customHeight="1">
      <c r="A16" s="3" t="s">
        <v>102</v>
      </c>
      <c r="B16" s="3" t="s">
        <v>103</v>
      </c>
      <c r="C16" s="3" t="s">
        <v>104</v>
      </c>
      <c r="D16" s="3"/>
      <c r="E16" s="3" t="s">
        <v>105</v>
      </c>
      <c r="F16" s="3" t="s">
        <v>106</v>
      </c>
      <c r="G16" s="3">
        <v>9820811111</v>
      </c>
      <c r="H16" s="3" t="str">
        <f>HYPERLINK("https://www.linkedin.com/in/bhupendra-vadia-142781270/?original_referer=https%3A%2F%2Fwww%2Egoogle%2Ecom%2F&amp;originalSubdomain=in","LinkedIn")</f>
        <v>LinkedIn</v>
      </c>
      <c r="I16" s="3" t="s">
        <v>100</v>
      </c>
      <c r="J16" s="3" t="s">
        <v>22</v>
      </c>
      <c r="K16" s="3" t="s">
        <v>56</v>
      </c>
      <c r="L16" s="3" t="s">
        <v>34</v>
      </c>
      <c r="M16" s="3" t="s">
        <v>107</v>
      </c>
      <c r="N16" s="3" t="s">
        <v>108</v>
      </c>
      <c r="O16" s="3"/>
    </row>
    <row r="17" spans="1:17" s="2" customFormat="1" ht="24.4" customHeight="1">
      <c r="A17" s="3" t="s">
        <v>109</v>
      </c>
      <c r="B17" s="3" t="s">
        <v>110</v>
      </c>
      <c r="C17" s="3" t="s">
        <v>111</v>
      </c>
      <c r="D17" s="3"/>
      <c r="E17" s="3" t="s">
        <v>112</v>
      </c>
      <c r="F17" s="3" t="s">
        <v>113</v>
      </c>
      <c r="G17" s="3">
        <v>8433552459</v>
      </c>
      <c r="H17" s="3" t="s">
        <v>114</v>
      </c>
      <c r="I17" s="3" t="s">
        <v>100</v>
      </c>
      <c r="J17" s="3"/>
      <c r="K17" s="3" t="s">
        <v>28</v>
      </c>
      <c r="L17" s="3" t="s">
        <v>115</v>
      </c>
      <c r="M17" s="3" t="s">
        <v>115</v>
      </c>
      <c r="N17" s="3"/>
      <c r="O17" s="3"/>
    </row>
    <row r="18" spans="1:17" s="2" customFormat="1" ht="57.75">
      <c r="A18" s="8" t="s">
        <v>116</v>
      </c>
      <c r="B18" s="8" t="s">
        <v>117</v>
      </c>
      <c r="C18" s="3"/>
      <c r="D18" s="3"/>
      <c r="E18" s="3"/>
      <c r="F18" s="3"/>
      <c r="G18" s="3"/>
      <c r="H18" s="3"/>
      <c r="I18" s="3" t="s">
        <v>66</v>
      </c>
      <c r="J18" s="3"/>
      <c r="K18" s="3" t="s">
        <v>56</v>
      </c>
      <c r="L18" s="3" t="s">
        <v>118</v>
      </c>
      <c r="M18" s="3" t="s">
        <v>119</v>
      </c>
      <c r="N18" s="3" t="s">
        <v>120</v>
      </c>
      <c r="O18" s="3" t="s">
        <v>121</v>
      </c>
    </row>
    <row r="19" spans="1:17" s="2" customFormat="1" ht="24.4" customHeight="1">
      <c r="A19" s="3" t="s">
        <v>122</v>
      </c>
      <c r="B19" s="3" t="s">
        <v>123</v>
      </c>
      <c r="C19" s="3" t="s">
        <v>31</v>
      </c>
      <c r="D19" s="3"/>
      <c r="E19" s="3" t="s">
        <v>124</v>
      </c>
      <c r="F19" s="3" t="s">
        <v>125</v>
      </c>
      <c r="G19" s="3">
        <v>9820047096</v>
      </c>
      <c r="H19" s="3" t="str">
        <f>HYPERLINK("https://linkedin.com/sales/people/ACwAACV2Vy0BwAOLEHRholNz864teZUgkiWZs74,NAME_SEARCH,q2af","LinkedIn")</f>
        <v>LinkedIn</v>
      </c>
      <c r="I19" s="3" t="s">
        <v>126</v>
      </c>
      <c r="J19" s="3" t="s">
        <v>22</v>
      </c>
      <c r="K19" s="3" t="s">
        <v>56</v>
      </c>
      <c r="L19" s="3" t="s">
        <v>115</v>
      </c>
      <c r="M19" s="3" t="s">
        <v>115</v>
      </c>
      <c r="N19" s="9" t="s">
        <v>127</v>
      </c>
      <c r="O19" s="3"/>
    </row>
    <row r="20" spans="1:17" s="2" customFormat="1" ht="57.75">
      <c r="A20" s="3" t="s">
        <v>128</v>
      </c>
      <c r="B20" s="3" t="s">
        <v>129</v>
      </c>
      <c r="C20" s="3" t="s">
        <v>130</v>
      </c>
      <c r="D20" s="3"/>
      <c r="E20" s="3" t="s">
        <v>131</v>
      </c>
      <c r="F20" s="5" t="s">
        <v>132</v>
      </c>
      <c r="G20" s="3">
        <v>9820452060</v>
      </c>
      <c r="H20" s="5" t="s">
        <v>133</v>
      </c>
      <c r="I20" s="3" t="s">
        <v>126</v>
      </c>
      <c r="J20" s="3" t="s">
        <v>22</v>
      </c>
      <c r="K20" s="3" t="s">
        <v>28</v>
      </c>
      <c r="L20" s="3" t="s">
        <v>67</v>
      </c>
      <c r="M20" s="3" t="s">
        <v>134</v>
      </c>
      <c r="N20" s="9" t="s">
        <v>108</v>
      </c>
      <c r="O20" s="3"/>
    </row>
    <row r="21" spans="1:17" s="2" customFormat="1" ht="24.4" customHeight="1">
      <c r="A21" s="3" t="s">
        <v>135</v>
      </c>
      <c r="B21" s="3" t="s">
        <v>136</v>
      </c>
      <c r="C21" s="3" t="s">
        <v>137</v>
      </c>
      <c r="D21" s="3"/>
      <c r="E21" s="3" t="s">
        <v>138</v>
      </c>
      <c r="F21" s="3" t="s">
        <v>139</v>
      </c>
      <c r="G21" s="3">
        <v>8850259440</v>
      </c>
      <c r="H21" s="3" t="str">
        <f>HYPERLINK("https://www.linkedin.com/in/anand-mishra-805033124/","LinkedIn")</f>
        <v>LinkedIn</v>
      </c>
      <c r="I21" s="3" t="s">
        <v>100</v>
      </c>
      <c r="J21" s="3" t="s">
        <v>22</v>
      </c>
      <c r="K21" s="3" t="s">
        <v>56</v>
      </c>
      <c r="L21" s="3" t="s">
        <v>67</v>
      </c>
      <c r="M21" s="3" t="s">
        <v>140</v>
      </c>
      <c r="N21" s="9" t="s">
        <v>108</v>
      </c>
      <c r="O21" s="3"/>
    </row>
    <row r="22" spans="1:17" s="2" customFormat="1" ht="31.5" customHeight="1">
      <c r="A22" s="3" t="s">
        <v>141</v>
      </c>
      <c r="B22" s="3" t="s">
        <v>142</v>
      </c>
      <c r="C22" s="3" t="s">
        <v>143</v>
      </c>
      <c r="D22" s="3"/>
      <c r="E22" s="3"/>
      <c r="F22" s="3" t="s">
        <v>144</v>
      </c>
      <c r="G22" s="3">
        <v>8879440009</v>
      </c>
      <c r="H22" s="3" t="str">
        <f>HYPERLINK("https://www.linkedin.com/in/ankit-morakhia-89505216/?originalSubdomain=in","LinkedIn")</f>
        <v>LinkedIn</v>
      </c>
      <c r="I22" s="3" t="s">
        <v>126</v>
      </c>
      <c r="J22" s="3" t="s">
        <v>22</v>
      </c>
      <c r="K22" s="3" t="s">
        <v>28</v>
      </c>
      <c r="L22" s="3" t="s">
        <v>67</v>
      </c>
      <c r="M22" s="3" t="s">
        <v>145</v>
      </c>
      <c r="N22" s="3" t="s">
        <v>146</v>
      </c>
      <c r="O22" s="3"/>
    </row>
    <row r="23" spans="1:17" s="2" customFormat="1" ht="33" customHeight="1">
      <c r="A23" s="3" t="s">
        <v>147</v>
      </c>
      <c r="B23" s="3" t="s">
        <v>148</v>
      </c>
      <c r="C23" s="3" t="s">
        <v>149</v>
      </c>
      <c r="D23" s="3"/>
      <c r="E23" s="3"/>
      <c r="F23" s="3" t="s">
        <v>150</v>
      </c>
      <c r="G23" s="3">
        <v>9899623343</v>
      </c>
      <c r="H23" s="3" t="str">
        <f>HYPERLINK("https://www.linkedin.com/in/neeraj-goenka-499635110/","LinkedIn")</f>
        <v>LinkedIn</v>
      </c>
      <c r="I23" s="3" t="s">
        <v>126</v>
      </c>
      <c r="J23" s="3" t="s">
        <v>22</v>
      </c>
      <c r="K23" s="3" t="s">
        <v>28</v>
      </c>
      <c r="L23" s="3" t="s">
        <v>67</v>
      </c>
      <c r="M23" s="3" t="s">
        <v>151</v>
      </c>
      <c r="N23" s="3" t="s">
        <v>152</v>
      </c>
      <c r="O23" s="3"/>
    </row>
    <row r="24" spans="1:17" s="2" customFormat="1" ht="29.25">
      <c r="A24" s="3" t="s">
        <v>153</v>
      </c>
      <c r="B24" s="3" t="s">
        <v>154</v>
      </c>
      <c r="C24" s="3" t="s">
        <v>155</v>
      </c>
      <c r="D24" s="3"/>
      <c r="E24" s="3"/>
      <c r="F24" s="3" t="s">
        <v>156</v>
      </c>
      <c r="G24" s="3">
        <v>9619084006</v>
      </c>
      <c r="H24" s="3" t="str">
        <f>HYPERLINK("https://www.linkedin.com/in/krishan-badaya-94a98435/","LinkedIn")</f>
        <v>LinkedIn</v>
      </c>
      <c r="I24" s="3" t="s">
        <v>126</v>
      </c>
      <c r="J24" s="3" t="s">
        <v>22</v>
      </c>
      <c r="K24" s="3" t="s">
        <v>56</v>
      </c>
      <c r="L24" s="3" t="s">
        <v>67</v>
      </c>
      <c r="M24" s="3" t="s">
        <v>157</v>
      </c>
      <c r="N24" s="3" t="s">
        <v>158</v>
      </c>
      <c r="O24" s="3"/>
    </row>
    <row r="25" spans="1:17" s="2" customFormat="1" ht="24.4" customHeight="1">
      <c r="A25" s="3" t="s">
        <v>159</v>
      </c>
      <c r="B25" s="3" t="s">
        <v>160</v>
      </c>
      <c r="C25" s="3" t="s">
        <v>161</v>
      </c>
      <c r="D25" s="3"/>
      <c r="E25" s="3" t="s">
        <v>162</v>
      </c>
      <c r="F25" s="3" t="s">
        <v>163</v>
      </c>
      <c r="G25" s="3">
        <v>9619066698</v>
      </c>
      <c r="H25" s="3" t="str">
        <f>HYPERLINK("https://linkedin.com/in/ACwAAARBFkoBGlBOXnyNfiKFlT_YHpQ0_Bu6IGk","LinkedIn")</f>
        <v>LinkedIn</v>
      </c>
      <c r="I25" s="3" t="s">
        <v>126</v>
      </c>
      <c r="J25" s="3" t="s">
        <v>22</v>
      </c>
      <c r="K25" s="3" t="s">
        <v>28</v>
      </c>
      <c r="L25" s="3" t="s">
        <v>115</v>
      </c>
      <c r="M25" s="3" t="s">
        <v>127</v>
      </c>
      <c r="N25" s="3"/>
      <c r="O25" s="3"/>
    </row>
    <row r="26" spans="1:17" s="2" customFormat="1" ht="24.4" customHeight="1">
      <c r="A26" s="3" t="s">
        <v>164</v>
      </c>
      <c r="B26" s="3"/>
      <c r="C26" s="3" t="s">
        <v>165</v>
      </c>
      <c r="D26" s="3"/>
      <c r="E26" s="3"/>
      <c r="F26" s="6" t="s">
        <v>166</v>
      </c>
      <c r="G26" s="3">
        <v>9004693293</v>
      </c>
      <c r="H26" s="3" t="str">
        <f>HYPERLINK("https://linkedin.com/in/ACwAAAeAeU0BJX0aeKsH7KO_7AAXFTq4FDO30qY","LinkedIn")</f>
        <v>LinkedIn</v>
      </c>
      <c r="I26" s="3" t="s">
        <v>126</v>
      </c>
      <c r="J26" s="3" t="s">
        <v>22</v>
      </c>
      <c r="K26" s="5" t="s">
        <v>28</v>
      </c>
      <c r="L26" s="3" t="s">
        <v>67</v>
      </c>
      <c r="M26" s="3" t="s">
        <v>167</v>
      </c>
      <c r="N26" s="5"/>
      <c r="O26" s="5"/>
    </row>
    <row r="27" spans="1:17" s="2" customFormat="1" ht="31.5" customHeight="1">
      <c r="A27" s="3" t="s">
        <v>168</v>
      </c>
      <c r="B27" s="3" t="s">
        <v>169</v>
      </c>
      <c r="C27" s="3" t="s">
        <v>170</v>
      </c>
      <c r="D27" s="3"/>
      <c r="E27" s="3" t="s">
        <v>171</v>
      </c>
      <c r="F27" s="3" t="s">
        <v>172</v>
      </c>
      <c r="G27" s="3">
        <v>9987025458</v>
      </c>
      <c r="H27" s="3" t="str">
        <f>HYPERLINK("https://www.linkedin.com/in/akhil-agarwal-36a38aa7?originalSubdomain=in","LinkedIn")</f>
        <v>LinkedIn</v>
      </c>
      <c r="I27" s="3" t="s">
        <v>126</v>
      </c>
      <c r="J27" s="3"/>
      <c r="K27" s="3" t="s">
        <v>23</v>
      </c>
      <c r="L27" s="3" t="s">
        <v>24</v>
      </c>
      <c r="M27" s="3" t="s">
        <v>173</v>
      </c>
      <c r="N27" s="3" t="s">
        <v>174</v>
      </c>
      <c r="O27" s="3" t="s">
        <v>175</v>
      </c>
    </row>
    <row r="28" spans="1:17" s="2" customFormat="1" ht="55.5" customHeight="1">
      <c r="A28" s="3" t="s">
        <v>176</v>
      </c>
      <c r="B28" s="3" t="s">
        <v>177</v>
      </c>
      <c r="C28" s="3" t="s">
        <v>178</v>
      </c>
      <c r="D28" s="3"/>
      <c r="E28" s="3" t="s">
        <v>179</v>
      </c>
      <c r="F28" s="3" t="s">
        <v>180</v>
      </c>
      <c r="G28" s="3">
        <v>8446992519</v>
      </c>
      <c r="H28" s="6" t="str">
        <f>HYPERLINK("https://www.linkedin.com/in/hanibangad/","LinkedIn")</f>
        <v>LinkedIn</v>
      </c>
      <c r="I28" s="3" t="s">
        <v>126</v>
      </c>
      <c r="J28" s="3" t="s">
        <v>22</v>
      </c>
      <c r="K28" s="3" t="s">
        <v>23</v>
      </c>
      <c r="L28" s="3" t="s">
        <v>67</v>
      </c>
      <c r="M28" s="10" t="s">
        <v>181</v>
      </c>
      <c r="N28" s="3" t="s">
        <v>182</v>
      </c>
      <c r="O28" s="3"/>
    </row>
    <row r="29" spans="1:17" s="2" customFormat="1" ht="24.4" customHeight="1">
      <c r="A29" s="3" t="s">
        <v>183</v>
      </c>
      <c r="B29" s="3" t="s">
        <v>184</v>
      </c>
      <c r="C29" s="3" t="s">
        <v>185</v>
      </c>
      <c r="D29" s="3"/>
      <c r="E29" s="3" t="s">
        <v>186</v>
      </c>
      <c r="F29" s="3" t="s">
        <v>187</v>
      </c>
      <c r="G29" s="3">
        <v>9819110397</v>
      </c>
      <c r="H29" s="3" t="str">
        <f>HYPERLINK("https://linkedin.com/sales/people/ACwAAALaWKkBqtzEMmPp1Q9ifUEfXogC68gBeLs,NAME_SEARCH,3_00","LinkedIn")</f>
        <v>LinkedIn</v>
      </c>
      <c r="I29" s="3" t="s">
        <v>126</v>
      </c>
      <c r="J29" s="3" t="s">
        <v>22</v>
      </c>
      <c r="K29" s="3" t="s">
        <v>56</v>
      </c>
      <c r="L29" s="3" t="s">
        <v>67</v>
      </c>
      <c r="M29" s="3" t="s">
        <v>107</v>
      </c>
      <c r="N29" s="9" t="s">
        <v>108</v>
      </c>
      <c r="O29" s="3"/>
    </row>
    <row r="30" spans="1:17" s="2" customFormat="1" ht="24.4" customHeight="1">
      <c r="A30" s="3" t="s">
        <v>188</v>
      </c>
      <c r="B30" s="3" t="s">
        <v>96</v>
      </c>
      <c r="C30" s="3" t="s">
        <v>189</v>
      </c>
      <c r="D30" s="3"/>
      <c r="E30" s="3"/>
      <c r="F30" s="3" t="s">
        <v>190</v>
      </c>
      <c r="G30" s="3">
        <v>8451041022</v>
      </c>
      <c r="H30" s="3" t="str">
        <f>HYPERLINK("https://www.linkedin.com/in/mayur-shibroor-b7257417/","LinkedIn")</f>
        <v>LinkedIn</v>
      </c>
      <c r="I30" s="3" t="s">
        <v>126</v>
      </c>
      <c r="J30" s="3" t="s">
        <v>22</v>
      </c>
      <c r="K30" s="3" t="s">
        <v>56</v>
      </c>
      <c r="L30" s="3" t="s">
        <v>67</v>
      </c>
      <c r="M30" s="3" t="s">
        <v>191</v>
      </c>
      <c r="N30" s="9" t="s">
        <v>108</v>
      </c>
      <c r="O30" s="3"/>
    </row>
    <row r="31" spans="1:17" s="2" customFormat="1" ht="24.4" customHeight="1">
      <c r="A31" s="3" t="s">
        <v>192</v>
      </c>
      <c r="B31" s="3" t="s">
        <v>193</v>
      </c>
      <c r="C31" s="3" t="s">
        <v>194</v>
      </c>
      <c r="D31" s="3"/>
      <c r="E31" s="3" t="s">
        <v>195</v>
      </c>
      <c r="F31" s="3" t="s">
        <v>196</v>
      </c>
      <c r="G31" s="3">
        <v>9987749352</v>
      </c>
      <c r="H31" s="3" t="str">
        <f>HYPERLINK("https://www.linkedin.com/in/ca-vruti-kawa-85082173/","LinkedIn")</f>
        <v>LinkedIn</v>
      </c>
      <c r="I31" s="3" t="s">
        <v>126</v>
      </c>
      <c r="J31" s="3" t="s">
        <v>22</v>
      </c>
      <c r="K31" s="3" t="s">
        <v>28</v>
      </c>
      <c r="L31" s="3" t="s">
        <v>67</v>
      </c>
      <c r="M31" s="3" t="s">
        <v>197</v>
      </c>
      <c r="N31" s="3" t="s">
        <v>198</v>
      </c>
      <c r="O31" s="3"/>
      <c r="Q31" s="2" t="s">
        <v>199</v>
      </c>
    </row>
    <row r="32" spans="1:17" s="2" customFormat="1" ht="24.4" customHeight="1">
      <c r="A32" s="3" t="s">
        <v>200</v>
      </c>
      <c r="B32" s="3" t="s">
        <v>201</v>
      </c>
      <c r="C32" s="3" t="s">
        <v>31</v>
      </c>
      <c r="D32" s="3"/>
      <c r="E32" s="3" t="s">
        <v>202</v>
      </c>
      <c r="F32" s="3" t="s">
        <v>203</v>
      </c>
      <c r="G32" s="3">
        <v>9167562090</v>
      </c>
      <c r="H32" s="3" t="s">
        <v>114</v>
      </c>
      <c r="I32" s="3" t="s">
        <v>126</v>
      </c>
      <c r="J32" s="3" t="s">
        <v>22</v>
      </c>
      <c r="K32" s="3" t="s">
        <v>56</v>
      </c>
      <c r="L32" s="3" t="s">
        <v>204</v>
      </c>
      <c r="M32" s="11" t="s">
        <v>205</v>
      </c>
      <c r="N32" s="3"/>
      <c r="O32" s="3"/>
    </row>
    <row r="33" spans="1:15" s="2" customFormat="1" ht="24.4" customHeight="1">
      <c r="A33" s="3" t="s">
        <v>206</v>
      </c>
      <c r="B33" s="3" t="s">
        <v>207</v>
      </c>
      <c r="C33" s="3" t="s">
        <v>31</v>
      </c>
      <c r="D33" s="3" t="s">
        <v>18</v>
      </c>
      <c r="E33" s="3"/>
      <c r="F33" s="6" t="s">
        <v>208</v>
      </c>
      <c r="G33" s="3">
        <v>9665019222</v>
      </c>
      <c r="H33" s="3" t="str">
        <f>HYPERLINK("https://linkedin.com/sales/people/ACwAAA5aIK0Bgx_SoijyVVVBI0oSFg90hwfqZqM,NAME_SEARCH,8aQ4","LinkedIn")</f>
        <v>LinkedIn</v>
      </c>
      <c r="I33" s="3" t="s">
        <v>100</v>
      </c>
      <c r="J33" s="3" t="s">
        <v>22</v>
      </c>
      <c r="K33" s="3" t="s">
        <v>56</v>
      </c>
      <c r="L33" s="3" t="s">
        <v>34</v>
      </c>
      <c r="M33" s="3" t="s">
        <v>209</v>
      </c>
      <c r="N33" s="3" t="s">
        <v>108</v>
      </c>
      <c r="O33" s="3"/>
    </row>
    <row r="34" spans="1:15" s="2" customFormat="1" ht="33" customHeight="1">
      <c r="A34" s="3" t="s">
        <v>210</v>
      </c>
      <c r="B34" s="3"/>
      <c r="C34" s="3"/>
      <c r="D34" s="3"/>
      <c r="E34" s="3" t="s">
        <v>211</v>
      </c>
      <c r="F34" s="3" t="s">
        <v>212</v>
      </c>
      <c r="G34" s="3">
        <v>9711778282</v>
      </c>
      <c r="H34" s="3" t="s">
        <v>213</v>
      </c>
      <c r="I34" s="3" t="s">
        <v>214</v>
      </c>
      <c r="J34" s="3" t="s">
        <v>22</v>
      </c>
      <c r="K34" s="3" t="s">
        <v>28</v>
      </c>
      <c r="L34" s="3"/>
      <c r="M34" s="3"/>
      <c r="N34" s="3"/>
      <c r="O34" s="3"/>
    </row>
    <row r="35" spans="1:15" s="2" customFormat="1" ht="31.5" customHeight="1">
      <c r="A35" s="3" t="s">
        <v>215</v>
      </c>
      <c r="B35" s="3"/>
      <c r="C35" s="3"/>
      <c r="D35" s="3"/>
      <c r="E35" s="3" t="s">
        <v>216</v>
      </c>
      <c r="F35" s="3" t="s">
        <v>217</v>
      </c>
      <c r="G35" s="3">
        <v>9833725431</v>
      </c>
      <c r="H35" s="3" t="s">
        <v>218</v>
      </c>
      <c r="I35" s="3" t="s">
        <v>214</v>
      </c>
      <c r="J35" s="3" t="s">
        <v>22</v>
      </c>
      <c r="K35" s="3" t="s">
        <v>28</v>
      </c>
      <c r="L35" s="3"/>
      <c r="M35" s="3"/>
      <c r="N35" s="3"/>
      <c r="O35" s="3"/>
    </row>
    <row r="36" spans="1:15" s="2" customFormat="1" ht="30.75" customHeight="1">
      <c r="A36" s="3" t="s">
        <v>219</v>
      </c>
      <c r="B36" s="3" t="s">
        <v>220</v>
      </c>
      <c r="C36" s="3" t="s">
        <v>221</v>
      </c>
      <c r="D36" s="3"/>
      <c r="E36" s="3" t="s">
        <v>222</v>
      </c>
      <c r="F36" s="3" t="s">
        <v>223</v>
      </c>
      <c r="G36" s="3">
        <v>9833372924</v>
      </c>
      <c r="H36" s="3" t="str">
        <f>HYPERLINK("https://linkedin.com/in/neha-joshi-35822228?originalSubdomain=in","LinkedIn")</f>
        <v>LinkedIn</v>
      </c>
      <c r="I36" s="3" t="s">
        <v>224</v>
      </c>
      <c r="J36" s="3" t="s">
        <v>22</v>
      </c>
      <c r="K36" s="3" t="s">
        <v>225</v>
      </c>
      <c r="L36" s="3" t="s">
        <v>24</v>
      </c>
      <c r="M36" s="3" t="s">
        <v>226</v>
      </c>
      <c r="N36" s="3" t="s">
        <v>127</v>
      </c>
      <c r="O36" s="3"/>
    </row>
    <row r="37" spans="1:15" s="2" customFormat="1" ht="24.4" customHeight="1">
      <c r="A37" s="3" t="s">
        <v>227</v>
      </c>
      <c r="B37" s="3" t="s">
        <v>228</v>
      </c>
      <c r="C37" s="3" t="s">
        <v>229</v>
      </c>
      <c r="D37" s="3" t="s">
        <v>18</v>
      </c>
      <c r="E37" s="3" t="s">
        <v>230</v>
      </c>
      <c r="F37" s="3" t="s">
        <v>231</v>
      </c>
      <c r="G37" s="3">
        <v>9981995400</v>
      </c>
      <c r="H37" s="3" t="str">
        <f>HYPERLINK("https://www.linkedin.com/in/mathurvinod/","LinkedIn")</f>
        <v>LinkedIn</v>
      </c>
      <c r="I37" s="3" t="s">
        <v>224</v>
      </c>
      <c r="J37" s="3" t="s">
        <v>22</v>
      </c>
      <c r="K37" s="3" t="s">
        <v>28</v>
      </c>
      <c r="L37" s="9"/>
      <c r="M37" s="3"/>
      <c r="N37" s="3"/>
      <c r="O37" s="3"/>
    </row>
    <row r="38" spans="1:15" s="2" customFormat="1" ht="31.5" customHeight="1">
      <c r="A38" s="3" t="s">
        <v>232</v>
      </c>
      <c r="B38" s="3" t="s">
        <v>228</v>
      </c>
      <c r="C38" s="3" t="s">
        <v>31</v>
      </c>
      <c r="D38" s="3" t="s">
        <v>18</v>
      </c>
      <c r="E38" s="3" t="s">
        <v>233</v>
      </c>
      <c r="F38" s="3" t="s">
        <v>234</v>
      </c>
      <c r="G38" s="3">
        <v>9818599095</v>
      </c>
      <c r="H38" s="6" t="str">
        <f>HYPERLINK("https://www.linkedin.com/in/riitesh-bhansali-00aab421/?originalSubdomain=in","LinkedIn")</f>
        <v>LinkedIn</v>
      </c>
      <c r="I38" s="3" t="s">
        <v>126</v>
      </c>
      <c r="J38" s="3" t="s">
        <v>22</v>
      </c>
      <c r="K38" s="3" t="s">
        <v>23</v>
      </c>
      <c r="L38" s="3" t="s">
        <v>235</v>
      </c>
      <c r="M38" s="3" t="s">
        <v>236</v>
      </c>
      <c r="N38" s="3" t="s">
        <v>174</v>
      </c>
      <c r="O38" s="3" t="s">
        <v>175</v>
      </c>
    </row>
    <row r="39" spans="1:15" s="2" customFormat="1" ht="72.75">
      <c r="A39" s="3"/>
      <c r="B39" s="3" t="s">
        <v>237</v>
      </c>
      <c r="C39" s="3"/>
      <c r="D39" s="3"/>
      <c r="E39" s="3"/>
      <c r="F39" s="3"/>
      <c r="G39" s="3"/>
      <c r="H39" s="3"/>
      <c r="I39" s="3" t="s">
        <v>126</v>
      </c>
      <c r="J39" s="3" t="s">
        <v>22</v>
      </c>
      <c r="K39" s="3" t="s">
        <v>23</v>
      </c>
      <c r="L39" s="3" t="s">
        <v>67</v>
      </c>
      <c r="M39" s="3" t="s">
        <v>238</v>
      </c>
      <c r="N39" s="3" t="s">
        <v>239</v>
      </c>
      <c r="O39" s="3"/>
    </row>
    <row r="40" spans="1:15" s="2" customFormat="1" ht="29.25">
      <c r="A40" s="3" t="s">
        <v>240</v>
      </c>
      <c r="B40" s="3" t="s">
        <v>241</v>
      </c>
      <c r="C40" s="3" t="s">
        <v>242</v>
      </c>
      <c r="D40" s="3" t="s">
        <v>18</v>
      </c>
      <c r="E40" s="3" t="s">
        <v>243</v>
      </c>
      <c r="F40" s="3" t="s">
        <v>244</v>
      </c>
      <c r="G40" s="3">
        <v>9594934600</v>
      </c>
      <c r="H40" s="6" t="str">
        <f>HYPERLINK("https://www.linkedin.com/in/somdeoarya/","LinkedIn")</f>
        <v>LinkedIn</v>
      </c>
      <c r="I40" s="3" t="s">
        <v>245</v>
      </c>
      <c r="J40" s="3" t="s">
        <v>22</v>
      </c>
      <c r="K40" s="3" t="s">
        <v>28</v>
      </c>
      <c r="L40" s="3"/>
      <c r="M40" s="3"/>
      <c r="N40" s="3"/>
      <c r="O40" s="3"/>
    </row>
    <row r="41" spans="1:15" s="2" customFormat="1">
      <c r="A41" s="3"/>
      <c r="B41" s="3" t="s">
        <v>246</v>
      </c>
      <c r="C41" s="3"/>
      <c r="D41" s="7"/>
      <c r="E41" s="3"/>
      <c r="F41" s="3"/>
      <c r="G41" s="3"/>
      <c r="H41" s="3"/>
      <c r="I41" s="3"/>
      <c r="J41" s="3"/>
      <c r="K41" s="3" t="s">
        <v>28</v>
      </c>
      <c r="L41" s="3"/>
      <c r="M41" s="3"/>
      <c r="N41" s="3"/>
      <c r="O41" s="3"/>
    </row>
    <row r="42" spans="1:15" s="2" customFormat="1">
      <c r="A42" s="3"/>
      <c r="B42" s="3"/>
      <c r="C42" s="3"/>
      <c r="D42" s="3"/>
      <c r="E42" s="3"/>
      <c r="F42" s="3"/>
      <c r="G42" s="3"/>
      <c r="H42" s="3"/>
      <c r="I42" s="3"/>
      <c r="J42" s="3"/>
      <c r="K42" s="3"/>
      <c r="M42" s="3"/>
      <c r="N42" s="3"/>
      <c r="O42" s="3"/>
    </row>
    <row r="43" spans="1:15" s="2" customFormat="1">
      <c r="A43" s="3"/>
      <c r="B43" s="3"/>
      <c r="C43" s="3"/>
      <c r="D43" s="3"/>
      <c r="E43" s="3"/>
      <c r="F43" s="3"/>
      <c r="G43" s="3"/>
      <c r="H43" s="3"/>
      <c r="I43" s="3"/>
      <c r="J43" s="3"/>
      <c r="K43" s="3"/>
      <c r="M43" s="3"/>
      <c r="N43" s="3"/>
      <c r="O43" s="3"/>
    </row>
    <row r="44" spans="1:15" s="2" customFormat="1">
      <c r="A44" s="3"/>
      <c r="B44" s="3"/>
      <c r="C44" s="3"/>
      <c r="D44" s="3"/>
      <c r="E44" s="3"/>
      <c r="F44" s="3"/>
      <c r="G44" s="3"/>
      <c r="H44" s="3"/>
      <c r="I44" s="3"/>
      <c r="J44" s="3"/>
      <c r="K44" s="3"/>
      <c r="M44" s="3"/>
      <c r="N44" s="3"/>
      <c r="O44" s="3"/>
    </row>
    <row r="45" spans="1:15" s="2" customFormat="1">
      <c r="A45" s="3"/>
      <c r="B45" s="3"/>
      <c r="C45" s="3"/>
      <c r="D45" s="3"/>
      <c r="E45" s="3"/>
      <c r="F45" s="3"/>
      <c r="G45" s="3"/>
      <c r="H45" s="3"/>
      <c r="I45" s="3"/>
      <c r="J45" s="3"/>
      <c r="K45" s="3"/>
      <c r="M45" s="3"/>
      <c r="N45" s="3"/>
      <c r="O45" s="3"/>
    </row>
    <row r="46" spans="1:15" s="2" customFormat="1">
      <c r="A46" s="3"/>
      <c r="B46" s="3"/>
      <c r="C46" s="3"/>
      <c r="D46" s="3"/>
      <c r="E46" s="3"/>
      <c r="F46" s="3"/>
      <c r="G46" s="3"/>
      <c r="H46" s="3"/>
      <c r="I46" s="3"/>
      <c r="J46" s="3"/>
      <c r="K46" s="3"/>
      <c r="M46" s="3"/>
      <c r="N46" s="3"/>
      <c r="O46" s="3"/>
    </row>
    <row r="47" spans="1:15" s="2" customFormat="1" ht="15" customHeight="1">
      <c r="E47" s="3"/>
      <c r="M47" s="3"/>
    </row>
    <row r="48" spans="1:15" s="2" customFormat="1" ht="15" customHeight="1">
      <c r="E48" s="3"/>
      <c r="M48" s="3"/>
    </row>
    <row r="49" spans="5:13" s="2" customFormat="1" ht="15" customHeight="1">
      <c r="E49" s="3"/>
      <c r="M49" s="3"/>
    </row>
    <row r="50" spans="5:13" s="2" customFormat="1" ht="15" customHeight="1">
      <c r="E50" s="3"/>
      <c r="M50" s="3"/>
    </row>
  </sheetData>
  <conditionalFormatting sqref="F2:F41">
    <cfRule type="expression" dxfId="18" priority="3">
      <formula>F2=""</formula>
    </cfRule>
  </conditionalFormatting>
  <conditionalFormatting sqref="K28:L28 N28:O28 K31:O31 K32:L32 N32:O32 K33:O34 K37 M37:O37 K22:O27 K29:M30 O29:O30 K19:M21 O19:O21 K17:M17 O17 K18:O18 K2:O16">
    <cfRule type="expression" dxfId="17" priority="2">
      <formula>K2="To Be Updated"</formula>
    </cfRule>
  </conditionalFormatting>
  <dataValidations count="2">
    <dataValidation allowBlank="1" showInputMessage="1" showErrorMessage="1" sqref="N1:N16 L38:L1048576 L1:L36 M33:M1048576 M29:M31 N31:N1048576 N22:N28 M1:M27 N18 O1:O1048576" xr:uid="{3DC7B9D2-CC24-4E86-8386-75758AE17615}"/>
    <dataValidation type="list" sqref="K1:K1048576" xr:uid="{B0FDF7C6-96A7-42F0-B266-D5288822287E}">
      <formula1>$Y$2:$Y$7</formula1>
    </dataValidation>
  </dataValidations>
  <hyperlinks>
    <hyperlink ref="F10" r:id="rId1" xr:uid="{C6DE286A-0ABB-4AB6-B362-A077D313D52A}"/>
    <hyperlink ref="F26" r:id="rId2" xr:uid="{8993DD0A-6FED-4389-AEF2-6A34D421BCF5}"/>
    <hyperlink ref="F7" r:id="rId3" xr:uid="{D4E7767C-317C-45D7-A4D2-E5A450D190C2}"/>
    <hyperlink ref="F33" r:id="rId4" xr:uid="{D9715027-1ACD-452D-8DD2-25F99E4B3AB1}"/>
  </hyperlinks>
  <pageMargins left="0.7" right="0.7" top="0.75" bottom="0.75" header="0.3" footer="0.3"/>
  <tableParts count="1">
    <tablePart r:id="rId5"/>
  </tableParts>
</worksheet>
</file>

<file path=docMetadata/LabelInfo.xml><?xml version="1.0" encoding="utf-8"?>
<clbl:labelList xmlns:clbl="http://schemas.microsoft.com/office/2020/mipLabelMetadata">
  <clbl:label id="{6aa63785-644d-48f0-bdab-f17a05f6201a}" enabled="1" method="Standard" siteId="{0ac02500-802f-4a4c-bad2-7cd68064d70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Simranleen Kaur - Tecnoprism</dc:creator>
  <cp:keywords/>
  <dc:description/>
  <cp:lastModifiedBy>Pinali Timba - Tecnoprism</cp:lastModifiedBy>
  <cp:revision/>
  <dcterms:created xsi:type="dcterms:W3CDTF">2026-05-15T07:20:30Z</dcterms:created>
  <dcterms:modified xsi:type="dcterms:W3CDTF">2026-09-08T10:42:43Z</dcterms:modified>
  <cp:category/>
  <cp:contentStatus/>
</cp:coreProperties>
</file>