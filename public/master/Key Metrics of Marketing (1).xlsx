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tecnoprism-my.sharepoint.com/personal/shashank_jha_tecnoprism_com/Documents/Marketing and Sales/"/>
    </mc:Choice>
  </mc:AlternateContent>
  <xr:revisionPtr revIDLastSave="1613" documentId="8_{D68D51EA-7FA1-48C4-A6BD-335A0233566A}" xr6:coauthVersionLast="47" xr6:coauthVersionMax="47" xr10:uidLastSave="{411D7D71-E9E9-4DC9-9B6C-317DE0F770B1}"/>
  <bookViews>
    <workbookView xWindow="-108" yWindow="-108" windowWidth="23256" windowHeight="12456" xr2:uid="{8968760E-F879-46DB-B8B0-3E6107927742}"/>
  </bookViews>
  <sheets>
    <sheet name="Tecnoprism" sheetId="1" r:id="rId1"/>
    <sheet name="Blogs" sheetId="3" r:id="rId2"/>
    <sheet name="KW Ranking"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 i="1" l="1"/>
  <c r="BA1" i="1"/>
  <c r="AZ1" i="1"/>
  <c r="AY1" i="1"/>
  <c r="AX1" i="1"/>
  <c r="AW1" i="1"/>
  <c r="AV1" i="1"/>
  <c r="AU1" i="1"/>
  <c r="AT1" i="1"/>
  <c r="AS1" i="1"/>
  <c r="AR1" i="1"/>
  <c r="J27" i="1"/>
  <c r="E1" i="1"/>
  <c r="F1" i="1" s="1"/>
  <c r="G1" i="1" s="1"/>
  <c r="H1" i="1" s="1"/>
  <c r="I1" i="1" s="1"/>
  <c r="J1" i="1" s="1"/>
  <c r="K1" i="1" s="1"/>
  <c r="L1" i="1" s="1"/>
  <c r="M1" i="1" s="1"/>
  <c r="N1" i="1" s="1"/>
  <c r="O1" i="1" s="1"/>
  <c r="P1" i="1" s="1"/>
  <c r="Q1" i="1" s="1"/>
  <c r="R1" i="1" l="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Priyanka Shinde - Tecnoprism</author>
    <author>tc={6115416A-FE24-4C3C-AFCE-624128C3B86F}</author>
  </authors>
  <commentList>
    <comment ref="AJ2" authorId="0" shapeId="0" xr:uid="{782407F4-95A3-40C0-BC9C-EA0A8BBE9204}">
      <text>
        <r>
          <rPr>
            <sz val="11"/>
            <color theme="1"/>
            <rFont val="Aptos Narrow"/>
            <family val="2"/>
            <scheme val="minor"/>
          </rPr>
          <t xml:space="preserve">Priyanka Shinde - Tecnoprism:
As the website was migrated from a custom platform to WordPress, the tracking code was removed during the migration. Due to this, we were not receiving accurate data. We have now reconfigured and set up the tracking code on the website again as of 15th May. </t>
        </r>
      </text>
    </comment>
    <comment ref="J5" authorId="0" shapeId="0" xr:uid="{EF953B62-F63C-4A25-99F9-BCC952E2B7B7}">
      <text>
        <r>
          <rPr>
            <sz val="11"/>
            <color theme="1"/>
            <rFont val="Aptos Narrow"/>
            <family val="2"/>
            <scheme val="minor"/>
          </rPr>
          <t>Priyanka Shinde - Tecnoprism:
As we have moved from Free version of Ubersuggest to paid version of SEMrush. All tools have different data, we need to stick with one - ours is SEMrush.</t>
        </r>
      </text>
    </comment>
    <comment ref="K10" authorId="0" shapeId="0" xr:uid="{FB321ADE-7F5D-41FE-A6AC-759349581B9F}">
      <text>
        <r>
          <rPr>
            <sz val="11"/>
            <color theme="1"/>
            <rFont val="Aptos Narrow"/>
            <family val="2"/>
            <scheme val="minor"/>
          </rPr>
          <t>Priyanka Shinde - Tecnoprism:
Due to SEMrush plan limitation not able to review keyword ranking position.</t>
        </r>
      </text>
    </comment>
    <comment ref="Q10" authorId="0" shapeId="0" xr:uid="{6B485168-2D2D-4DC6-9BB0-19395167F0F2}">
      <text>
        <r>
          <rPr>
            <sz val="11"/>
            <color theme="1"/>
            <rFont val="Aptos Narrow"/>
            <family val="2"/>
            <scheme val="minor"/>
          </rPr>
          <t>Priyanka Shinde - Tecnoprism:
Collaborative AI - 11 Position (According to SEMrush)</t>
        </r>
      </text>
    </comment>
    <comment ref="J11" authorId="0" shapeId="0" xr:uid="{8312B0AF-6A71-4091-B0A1-23F6AC5A5072}">
      <text>
        <r>
          <rPr>
            <sz val="11"/>
            <color theme="1"/>
            <rFont val="Aptos Narrow"/>
            <family val="2"/>
            <scheme val="minor"/>
          </rPr>
          <t>Priyanka Shinde - Tecnoprism:
As we have moved from Free version of Ubersuggest to paid version of SEMrush. All tools have different data, we need to stick with one - ours is SEMrush.</t>
        </r>
      </text>
    </comment>
    <comment ref="AA12" authorId="0" shapeId="0" xr:uid="{45E5D2D4-AE56-40D4-A514-9D068764521D}">
      <text>
        <r>
          <rPr>
            <sz val="11"/>
            <color theme="1"/>
            <rFont val="Aptos Narrow"/>
            <family val="2"/>
            <scheme val="minor"/>
          </rPr>
          <t>Priyanka Shinde - Tecnoprism:
AI Visibility - 14
Mentions - 3
Cited Pages - 31 
Total Cited Pages - 41</t>
        </r>
      </text>
    </comment>
    <comment ref="S21" authorId="1" shapeId="0" xr:uid="{6115416A-FE24-4C3C-AFCE-624128C3B86F}">
      <text>
        <t>[Threaded comment]
Your version of Excel allows you to read this threaded comment; however, any edits to it will get removed if the file is opened in a newer version of Excel. Learn more: https://go.microsoft.com/fwlink/?linkid=870924
Comment:
    Acc suspended</t>
      </text>
    </comment>
  </commentList>
</comments>
</file>

<file path=xl/sharedStrings.xml><?xml version="1.0" encoding="utf-8"?>
<sst xmlns="http://schemas.openxmlformats.org/spreadsheetml/2006/main" count="139" uniqueCount="105">
  <si>
    <t>Category</t>
  </si>
  <si>
    <t>Key Metrics</t>
  </si>
  <si>
    <t>Website +  SEO</t>
  </si>
  <si>
    <t>Traffic (GA4) - Views</t>
  </si>
  <si>
    <t>1K</t>
  </si>
  <si>
    <t>5.2K</t>
  </si>
  <si>
    <t>9.8K</t>
  </si>
  <si>
    <t>11K</t>
  </si>
  <si>
    <t>1.2K</t>
  </si>
  <si>
    <t>1.4K</t>
  </si>
  <si>
    <t>1.1K</t>
  </si>
  <si>
    <t>1.3K</t>
  </si>
  <si>
    <t>Traffic (GA4) - Total Users</t>
  </si>
  <si>
    <t>2K</t>
  </si>
  <si>
    <t>3.9K</t>
  </si>
  <si>
    <t>4.3K</t>
  </si>
  <si>
    <t>Bounce Rate</t>
  </si>
  <si>
    <t>Authority Score (SEMrush)</t>
  </si>
  <si>
    <t>Domain Authority (DAPA Checker)</t>
  </si>
  <si>
    <t>Leads (forms+chatbot)</t>
  </si>
  <si>
    <t>MQL</t>
  </si>
  <si>
    <t>Page Authority (Homepage)</t>
  </si>
  <si>
    <t>KW Ranking (top 20)</t>
  </si>
  <si>
    <t>NA</t>
  </si>
  <si>
    <t>Backlinks</t>
  </si>
  <si>
    <t>348 (DF - 204, NF - 146)</t>
  </si>
  <si>
    <t>355 (DF - 207, NF - 150)</t>
  </si>
  <si>
    <t>413 (DF - 218, NF - 197)</t>
  </si>
  <si>
    <t>430 (DF - 230, NF - 200)</t>
  </si>
  <si>
    <t>448 (DF - 239, NF - 209)</t>
  </si>
  <si>
    <t>454 (DF - 242, NF - 212)</t>
  </si>
  <si>
    <t>570(330, 240)</t>
  </si>
  <si>
    <t>611 (339, 270)</t>
  </si>
  <si>
    <t>619 (342, 277)</t>
  </si>
  <si>
    <t>655 (357, 293)</t>
  </si>
  <si>
    <t>709 (367, 342)</t>
  </si>
  <si>
    <t>711(396, 370)</t>
  </si>
  <si>
    <t>766 (386, 383)</t>
  </si>
  <si>
    <t>798 (414, 387)</t>
  </si>
  <si>
    <t>865 (470, 398)</t>
  </si>
  <si>
    <t>AI Search</t>
  </si>
  <si>
    <t>14, 3, 31 (41)</t>
  </si>
  <si>
    <t>14, 2, 34 (45)</t>
  </si>
  <si>
    <t>14, 2, 35 (47)</t>
  </si>
  <si>
    <t>14, 2, 34 (47)</t>
  </si>
  <si>
    <t>14, 2, 36 (49)</t>
  </si>
  <si>
    <t>14, 1, 42 (54)</t>
  </si>
  <si>
    <t>14, 0, 40 (53)</t>
  </si>
  <si>
    <t>14, 1, 46 (59)</t>
  </si>
  <si>
    <t>14, 1, 50 (62)</t>
  </si>
  <si>
    <t>14, 1, 50 (63)</t>
  </si>
  <si>
    <t>14, 1, 59 (70)</t>
  </si>
  <si>
    <t>14, 1, (74) 64</t>
  </si>
  <si>
    <t>14, 1, (70) 60</t>
  </si>
  <si>
    <t>14, 1 (65) 57</t>
  </si>
  <si>
    <t>14, 1, 62 (71)</t>
  </si>
  <si>
    <t>14, 1, 51 (59)</t>
  </si>
  <si>
    <t>14, 1 41 (50)</t>
  </si>
  <si>
    <t xml:space="preserve">14, 1, (43) 34 </t>
  </si>
  <si>
    <t>14, 1 (40), 33</t>
  </si>
  <si>
    <t>14, 1, (34) 28</t>
  </si>
  <si>
    <t>14, 1, 28 (34)</t>
  </si>
  <si>
    <t>14, 1, 35 (41)</t>
  </si>
  <si>
    <t>14, 1 35</t>
  </si>
  <si>
    <t>0,0, 35</t>
  </si>
  <si>
    <t>0, 0, 33</t>
  </si>
  <si>
    <t>0, 0, 32</t>
  </si>
  <si>
    <t>0, 0, 31</t>
  </si>
  <si>
    <t>Social Media (Weekly Reporting)</t>
  </si>
  <si>
    <t>Page Search</t>
  </si>
  <si>
    <t>Content Impressions</t>
  </si>
  <si>
    <t>Engagement (Reaction+Comment+Repost)</t>
  </si>
  <si>
    <t>No of Posts</t>
  </si>
  <si>
    <t>DMs</t>
  </si>
  <si>
    <t>Followers (New/Total)</t>
  </si>
  <si>
    <t>251/18376</t>
  </si>
  <si>
    <t>231/18442</t>
  </si>
  <si>
    <t>115/19037</t>
  </si>
  <si>
    <t>Leads via DM</t>
  </si>
  <si>
    <t>Q&amp;A Platforms</t>
  </si>
  <si>
    <t>Responses/Posting</t>
  </si>
  <si>
    <t>STOP</t>
  </si>
  <si>
    <t>Google My Business</t>
  </si>
  <si>
    <t>Rating</t>
  </si>
  <si>
    <t>Leads</t>
  </si>
  <si>
    <t>Calls</t>
  </si>
  <si>
    <t>Website Visit</t>
  </si>
  <si>
    <t>Content (published)</t>
  </si>
  <si>
    <t>Blogs</t>
  </si>
  <si>
    <t>1 PR blog</t>
  </si>
  <si>
    <t>Videos</t>
  </si>
  <si>
    <t>Creatives</t>
  </si>
  <si>
    <t>Website Page</t>
  </si>
  <si>
    <t>1 (Effort Esti)</t>
  </si>
  <si>
    <t>17 (Industry Pages)</t>
  </si>
  <si>
    <t>1 (AI agent dev.)</t>
  </si>
  <si>
    <t>Follow-up Email</t>
  </si>
  <si>
    <t>Warmup Call / LinkedIn DM</t>
  </si>
  <si>
    <t>First Connect</t>
  </si>
  <si>
    <t>Hot Lead Confirmation</t>
  </si>
  <si>
    <t>Topic</t>
  </si>
  <si>
    <t>Publish Date</t>
  </si>
  <si>
    <t>Live Link</t>
  </si>
  <si>
    <t>Views</t>
  </si>
  <si>
    <t>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</si>
</sst>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sz val="11"/>
      <color rgb="FF000000"/>
      <name val="Aptos Narrow"/>
      <family val="2"/>
    </font>
    <font>
      <sz val="11"/>
      <color rgb="FF202124"/>
      <name val="Google Sans"/>
      <charset val="1"/>
    </font>
    <font>
      <sz val="11"/>
      <color theme="1"/>
      <name val="Aptos Narrow"/>
      <scheme val="minor"/>
    </font>
  </fonts>
  <fills count="6">
    <fill>
      <patternFill patternType="none"/>
    </fill>
    <fill>
      <patternFill patternType="gray125"/>
    </fill>
    <fill>
      <patternFill patternType="solid">
        <fgColor theme="7"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6"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1" xfId="0" applyBorder="1" applyAlignment="1">
      <alignment horizontal="center"/>
    </xf>
    <xf numFmtId="10" fontId="0" fillId="0" borderId="1" xfId="0" applyNumberFormat="1" applyBorder="1" applyAlignment="1">
      <alignment horizontal="center"/>
    </xf>
    <xf numFmtId="0" fontId="0" fillId="2" borderId="1" xfId="0" applyFill="1" applyBorder="1" applyAlignment="1">
      <alignment horizontal="left" vertical="center"/>
    </xf>
    <xf numFmtId="0" fontId="0" fillId="0" borderId="0" xfId="0" applyAlignment="1">
      <alignment horizontal="left" vertical="center"/>
    </xf>
    <xf numFmtId="16" fontId="0" fillId="2" borderId="1" xfId="0" applyNumberFormat="1" applyFill="1" applyBorder="1" applyAlignment="1">
      <alignment horizontal="center"/>
    </xf>
    <xf numFmtId="0" fontId="1" fillId="0" borderId="1" xfId="0" applyFont="1" applyBorder="1" applyAlignment="1">
      <alignment horizontal="center"/>
    </xf>
    <xf numFmtId="10" fontId="1" fillId="0" borderId="2" xfId="0" applyNumberFormat="1" applyFont="1" applyBorder="1" applyAlignment="1">
      <alignment horizontal="center"/>
    </xf>
    <xf numFmtId="0" fontId="1" fillId="0" borderId="2" xfId="0" applyFont="1"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3" borderId="1" xfId="0" applyFill="1" applyBorder="1" applyAlignment="1">
      <alignment horizontal="center"/>
    </xf>
    <xf numFmtId="10" fontId="0" fillId="3" borderId="1" xfId="0" applyNumberFormat="1" applyFill="1" applyBorder="1" applyAlignment="1">
      <alignment horizontal="center"/>
    </xf>
    <xf numFmtId="0" fontId="0" fillId="4" borderId="1" xfId="0" applyFill="1" applyBorder="1" applyAlignment="1">
      <alignment horizontal="center"/>
    </xf>
    <xf numFmtId="0" fontId="0" fillId="4" borderId="1" xfId="0" applyFill="1" applyBorder="1" applyAlignment="1">
      <alignment horizontal="center" wrapText="1"/>
    </xf>
    <xf numFmtId="10" fontId="0" fillId="4" borderId="1" xfId="0" applyNumberFormat="1" applyFill="1" applyBorder="1" applyAlignment="1">
      <alignment horizontal="center"/>
    </xf>
    <xf numFmtId="10" fontId="2" fillId="3" borderId="0" xfId="0" applyNumberFormat="1" applyFont="1" applyFill="1"/>
    <xf numFmtId="0" fontId="3" fillId="3" borderId="1" xfId="0" applyFont="1" applyFill="1" applyBorder="1" applyAlignment="1">
      <alignment horizontal="center"/>
    </xf>
    <xf numFmtId="0" fontId="0" fillId="5" borderId="1" xfId="0" applyFill="1" applyBorder="1" applyAlignment="1">
      <alignment horizontal="center"/>
    </xf>
    <xf numFmtId="0" fontId="0" fillId="0" borderId="5" xfId="0" applyBorder="1" applyAlignment="1">
      <alignment horizontal="center"/>
    </xf>
    <xf numFmtId="10" fontId="0" fillId="5" borderId="1" xfId="0" applyNumberFormat="1" applyFill="1" applyBorder="1" applyAlignment="1">
      <alignment horizontal="center"/>
    </xf>
    <xf numFmtId="10" fontId="2" fillId="0" borderId="0" xfId="0" applyNumberFormat="1" applyFont="1" applyAlignment="1">
      <alignment horizontal="center"/>
    </xf>
    <xf numFmtId="0" fontId="0" fillId="0" borderId="1" xfId="0" applyBorder="1" applyAlignment="1">
      <alignment horizontal="center" vertical="center"/>
    </xf>
    <xf numFmtId="0" fontId="1" fillId="0" borderId="2" xfId="0" applyFont="1" applyBorder="1" applyAlignment="1">
      <alignment horizontal="center" vertical="center"/>
    </xf>
    <xf numFmtId="0" fontId="0" fillId="3" borderId="1" xfId="0" applyFill="1" applyBorder="1" applyAlignment="1">
      <alignment horizontal="center" vertical="center"/>
    </xf>
    <xf numFmtId="0" fontId="0" fillId="5" borderId="1" xfId="0" applyFill="1" applyBorder="1" applyAlignment="1">
      <alignment horizontal="center" vertical="center"/>
    </xf>
    <xf numFmtId="0" fontId="0" fillId="4" borderId="1" xfId="0" applyFill="1" applyBorder="1" applyAlignment="1">
      <alignment horizontal="center" vertical="center"/>
    </xf>
    <xf numFmtId="0" fontId="0" fillId="0" borderId="0" xfId="0" applyAlignment="1">
      <alignment horizontal="center" vertical="center"/>
    </xf>
    <xf numFmtId="0" fontId="0" fillId="5" borderId="1" xfId="0" applyFill="1" applyBorder="1" applyAlignment="1">
      <alignment horizontal="center" vertical="center" wrapText="1"/>
    </xf>
    <xf numFmtId="0" fontId="0" fillId="4" borderId="1" xfId="0" applyFill="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left" vertical="center"/>
    </xf>
    <xf numFmtId="0" fontId="0" fillId="4" borderId="4" xfId="0" applyFill="1" applyBorder="1" applyAlignment="1">
      <alignment horizontal="center"/>
    </xf>
    <xf numFmtId="0" fontId="0" fillId="4" borderId="0" xfId="0" applyFill="1"/>
    <xf numFmtId="0" fontId="0" fillId="2" borderId="1" xfId="0" applyFill="1" applyBorder="1" applyAlignment="1">
      <alignment vertical="center"/>
    </xf>
    <xf numFmtId="0" fontId="0" fillId="0" borderId="1" xfId="0" applyBorder="1" applyAlignment="1">
      <alignment vertical="center"/>
    </xf>
    <xf numFmtId="0" fontId="0" fillId="0" borderId="4" xfId="0" applyBorder="1" applyAlignment="1">
      <alignment vertical="center"/>
    </xf>
    <xf numFmtId="0" fontId="0" fillId="0" borderId="0" xfId="0" applyAlignment="1">
      <alignment vertical="center"/>
    </xf>
    <xf numFmtId="0" fontId="0" fillId="0" borderId="4" xfId="0" applyBorder="1" applyAlignment="1">
      <alignment horizontal="left" vertical="center"/>
    </xf>
    <xf numFmtId="0" fontId="0" fillId="0" borderId="3" xfId="0" applyBorder="1" applyAlignment="1">
      <alignment horizontal="left" vertical="center"/>
    </xf>
    <xf numFmtId="0" fontId="0" fillId="0" borderId="2" xfId="0" applyBorder="1" applyAlignment="1">
      <alignment horizontal="left" vertical="center"/>
    </xf>
    <xf numFmtId="0" fontId="0" fillId="0" borderId="5" xfId="0" applyBorder="1"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Priyanka Shinde - Tecnoprism" id="{00C0F629-53C9-4978-84F6-A491228CA897}" userId="S::priyanka.shinde@tecnoprism.com::c12c2164-49fe-4d79-aaaa-049289554b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21" dT="2026-08-05T07:26:02.35" personId="{00C0F629-53C9-4978-84F6-A491228CA897}" id="{6115416A-FE24-4C3C-AFCE-624128C3B86F}">
    <text>Acc suspended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20A2F-D778-487F-B1B7-3662E605AF4C}">
  <dimension ref="A1:BB37"/>
  <sheetViews>
    <sheetView tabSelected="1" zoomScaleNormal="100" workbookViewId="0">
      <pane xSplit="2" ySplit="1" topLeftCell="AT11" activePane="bottomRight" state="frozen"/>
      <selection pane="bottomRight" activeCell="BD9" sqref="BD9"/>
      <selection pane="bottomLeft"/>
      <selection pane="topRight"/>
    </sheetView>
  </sheetViews>
  <sheetFormatPr defaultRowHeight="15"/>
  <cols>
    <col min="1" max="1" width="24.140625" style="5" customWidth="1"/>
    <col min="2" max="2" width="29.42578125" style="38" customWidth="1"/>
    <col min="3" max="3" width="9.5703125" style="11" customWidth="1"/>
    <col min="4" max="4" width="9.7109375" style="11" bestFit="1" customWidth="1"/>
    <col min="5" max="6" width="9.140625" style="11"/>
    <col min="7" max="7" width="10.5703125" style="11" bestFit="1" customWidth="1"/>
    <col min="8" max="26" width="9.140625" style="11"/>
    <col min="27" max="28" width="11.7109375" style="11" customWidth="1"/>
    <col min="29" max="29" width="11.85546875" style="11" customWidth="1"/>
    <col min="30" max="30" width="12" style="11" customWidth="1"/>
    <col min="31" max="31" width="12.7109375" customWidth="1"/>
    <col min="32" max="32" width="11.85546875" customWidth="1"/>
    <col min="33" max="33" width="12.140625" customWidth="1"/>
    <col min="34" max="35" width="11.7109375" customWidth="1"/>
    <col min="36" max="37" width="11.28515625" customWidth="1"/>
    <col min="38" max="38" width="16.7109375" customWidth="1"/>
    <col min="39" max="39" width="12.42578125" customWidth="1"/>
    <col min="40" max="40" width="13.5703125" customWidth="1"/>
    <col min="41" max="41" width="13.7109375" customWidth="1"/>
    <col min="42" max="42" width="12.42578125" customWidth="1"/>
    <col min="43" max="43" width="12.7109375" customWidth="1"/>
    <col min="44" max="44" width="13.5703125" customWidth="1"/>
    <col min="45" max="45" width="11.85546875" customWidth="1"/>
    <col min="46" max="46" width="12.140625" customWidth="1"/>
    <col min="47" max="47" width="11.7109375" customWidth="1"/>
    <col min="48" max="48" width="11.42578125" customWidth="1"/>
    <col min="49" max="49" width="12.7109375" customWidth="1"/>
    <col min="53" max="53" width="10.140625" bestFit="1" customWidth="1"/>
  </cols>
  <sheetData>
    <row r="1" spans="1:54">
      <c r="A1" s="4" t="s">
        <v>0</v>
      </c>
      <c r="B1" s="35" t="s">
        <v>1</v>
      </c>
      <c r="C1" s="6">
        <v>45930</v>
      </c>
      <c r="D1" s="6">
        <v>45933</v>
      </c>
      <c r="E1" s="6">
        <f>D1+7</f>
        <v>45940</v>
      </c>
      <c r="F1" s="6">
        <f t="shared" ref="F1:BB1" si="0">E1+7</f>
        <v>45947</v>
      </c>
      <c r="G1" s="6">
        <f t="shared" si="0"/>
        <v>45954</v>
      </c>
      <c r="H1" s="6">
        <f t="shared" si="0"/>
        <v>45961</v>
      </c>
      <c r="I1" s="6">
        <f t="shared" si="0"/>
        <v>45968</v>
      </c>
      <c r="J1" s="6">
        <f t="shared" si="0"/>
        <v>45975</v>
      </c>
      <c r="K1" s="6">
        <f t="shared" si="0"/>
        <v>45982</v>
      </c>
      <c r="L1" s="6">
        <f t="shared" si="0"/>
        <v>45989</v>
      </c>
      <c r="M1" s="6">
        <f t="shared" si="0"/>
        <v>45996</v>
      </c>
      <c r="N1" s="6">
        <f t="shared" si="0"/>
        <v>46003</v>
      </c>
      <c r="O1" s="6">
        <f t="shared" si="0"/>
        <v>46010</v>
      </c>
      <c r="P1" s="6">
        <f t="shared" si="0"/>
        <v>46017</v>
      </c>
      <c r="Q1" s="6">
        <f t="shared" si="0"/>
        <v>46024</v>
      </c>
      <c r="R1" s="6">
        <f>Q1+6</f>
        <v>46030</v>
      </c>
      <c r="S1" s="6">
        <f>R1+8</f>
        <v>46038</v>
      </c>
      <c r="T1" s="6">
        <f t="shared" si="0"/>
        <v>46045</v>
      </c>
      <c r="U1" s="6">
        <f t="shared" si="0"/>
        <v>46052</v>
      </c>
      <c r="V1" s="6">
        <f t="shared" si="0"/>
        <v>46059</v>
      </c>
      <c r="W1" s="6">
        <f t="shared" si="0"/>
        <v>46066</v>
      </c>
      <c r="X1" s="6">
        <f t="shared" si="0"/>
        <v>46073</v>
      </c>
      <c r="Y1" s="6">
        <f t="shared" si="0"/>
        <v>46080</v>
      </c>
      <c r="Z1" s="6">
        <f t="shared" si="0"/>
        <v>46087</v>
      </c>
      <c r="AA1" s="6">
        <f t="shared" si="0"/>
        <v>46094</v>
      </c>
      <c r="AB1" s="6">
        <f t="shared" si="0"/>
        <v>46101</v>
      </c>
      <c r="AC1" s="6">
        <f t="shared" si="0"/>
        <v>46108</v>
      </c>
      <c r="AD1" s="6">
        <f t="shared" si="0"/>
        <v>46115</v>
      </c>
      <c r="AE1" s="6">
        <f t="shared" si="0"/>
        <v>46122</v>
      </c>
      <c r="AF1" s="6">
        <f t="shared" si="0"/>
        <v>46129</v>
      </c>
      <c r="AG1" s="6">
        <f t="shared" si="0"/>
        <v>46136</v>
      </c>
      <c r="AH1" s="6">
        <f t="shared" si="0"/>
        <v>46143</v>
      </c>
      <c r="AI1" s="6">
        <f t="shared" si="0"/>
        <v>46150</v>
      </c>
      <c r="AJ1" s="6">
        <f t="shared" si="0"/>
        <v>46157</v>
      </c>
      <c r="AK1" s="6">
        <f t="shared" si="0"/>
        <v>46164</v>
      </c>
      <c r="AL1" s="6">
        <f t="shared" si="0"/>
        <v>46171</v>
      </c>
      <c r="AM1" s="6">
        <f t="shared" si="0"/>
        <v>46178</v>
      </c>
      <c r="AN1" s="6">
        <f t="shared" si="0"/>
        <v>46185</v>
      </c>
      <c r="AO1" s="6">
        <f t="shared" si="0"/>
        <v>46192</v>
      </c>
      <c r="AP1" s="6">
        <f t="shared" si="0"/>
        <v>46199</v>
      </c>
      <c r="AQ1" s="6">
        <f t="shared" si="0"/>
        <v>46206</v>
      </c>
      <c r="AR1" s="6">
        <f t="shared" si="0"/>
        <v>46213</v>
      </c>
      <c r="AS1" s="6">
        <f t="shared" si="0"/>
        <v>46220</v>
      </c>
      <c r="AT1" s="6">
        <f t="shared" si="0"/>
        <v>46227</v>
      </c>
      <c r="AU1" s="6">
        <f t="shared" si="0"/>
        <v>46234</v>
      </c>
      <c r="AV1" s="6">
        <f t="shared" si="0"/>
        <v>46241</v>
      </c>
      <c r="AW1" s="6">
        <f t="shared" si="0"/>
        <v>46248</v>
      </c>
      <c r="AX1" s="6">
        <f t="shared" si="0"/>
        <v>46255</v>
      </c>
      <c r="AY1" s="6">
        <f t="shared" si="0"/>
        <v>46262</v>
      </c>
      <c r="AZ1" s="6">
        <f t="shared" si="0"/>
        <v>46269</v>
      </c>
      <c r="BA1" s="6">
        <f t="shared" si="0"/>
        <v>46276</v>
      </c>
      <c r="BB1" s="6">
        <f t="shared" si="0"/>
        <v>46283</v>
      </c>
    </row>
    <row r="2" spans="1:54">
      <c r="A2" s="39" t="s">
        <v>2</v>
      </c>
      <c r="B2" s="36" t="s">
        <v>3</v>
      </c>
      <c r="C2" s="2">
        <v>812</v>
      </c>
      <c r="D2" s="7">
        <v>652</v>
      </c>
      <c r="E2" s="12">
        <v>853</v>
      </c>
      <c r="F2" s="2">
        <v>741</v>
      </c>
      <c r="G2" s="2">
        <v>481</v>
      </c>
      <c r="H2" s="2">
        <v>775</v>
      </c>
      <c r="I2" s="14">
        <v>808</v>
      </c>
      <c r="J2" s="12">
        <v>882</v>
      </c>
      <c r="K2" s="12">
        <v>908</v>
      </c>
      <c r="L2" s="2">
        <v>753</v>
      </c>
      <c r="M2" s="2">
        <v>798</v>
      </c>
      <c r="N2" s="12" t="s">
        <v>4</v>
      </c>
      <c r="O2" s="2" t="s">
        <v>4</v>
      </c>
      <c r="P2" s="2">
        <v>747</v>
      </c>
      <c r="Q2" s="12" t="s">
        <v>5</v>
      </c>
      <c r="R2" s="12" t="s">
        <v>6</v>
      </c>
      <c r="S2" s="2" t="s">
        <v>7</v>
      </c>
      <c r="T2" s="2" t="s">
        <v>8</v>
      </c>
      <c r="U2" s="2">
        <v>925</v>
      </c>
      <c r="V2" s="2" t="s">
        <v>8</v>
      </c>
      <c r="W2" s="2" t="s">
        <v>9</v>
      </c>
      <c r="X2" s="2">
        <v>965</v>
      </c>
      <c r="Y2" s="2">
        <v>963</v>
      </c>
      <c r="Z2" s="2">
        <v>859</v>
      </c>
      <c r="AA2" s="2">
        <v>997</v>
      </c>
      <c r="AB2" s="19" t="s">
        <v>10</v>
      </c>
      <c r="AC2" s="2" t="s">
        <v>10</v>
      </c>
      <c r="AD2" s="2" t="s">
        <v>4</v>
      </c>
      <c r="AE2" s="2">
        <v>882</v>
      </c>
      <c r="AF2" s="2">
        <v>934</v>
      </c>
      <c r="AG2" s="19" t="s">
        <v>8</v>
      </c>
      <c r="AH2" s="2">
        <v>824</v>
      </c>
      <c r="AI2" s="19" t="s">
        <v>4</v>
      </c>
      <c r="AJ2" s="2">
        <v>565</v>
      </c>
      <c r="AK2" s="21" t="s">
        <v>8</v>
      </c>
      <c r="AL2" s="21" t="s">
        <v>9</v>
      </c>
      <c r="AM2" s="2">
        <v>946</v>
      </c>
      <c r="AN2" s="2">
        <v>755</v>
      </c>
      <c r="AO2" s="19" t="s">
        <v>9</v>
      </c>
      <c r="AP2" s="2" t="s">
        <v>8</v>
      </c>
      <c r="AQ2" s="2">
        <v>460</v>
      </c>
      <c r="AR2" s="2">
        <v>577</v>
      </c>
      <c r="AS2" s="2">
        <v>450</v>
      </c>
      <c r="AT2" s="19">
        <v>680</v>
      </c>
      <c r="AU2" s="14">
        <v>610</v>
      </c>
      <c r="AV2" s="19">
        <v>680</v>
      </c>
      <c r="AW2" s="14">
        <v>592</v>
      </c>
      <c r="AX2" s="14">
        <v>367</v>
      </c>
      <c r="AY2" s="14">
        <v>452</v>
      </c>
      <c r="AZ2" s="14">
        <v>615</v>
      </c>
      <c r="BA2" s="19" t="s">
        <v>11</v>
      </c>
      <c r="BB2" s="14" t="s">
        <v>11</v>
      </c>
    </row>
    <row r="3" spans="1:54">
      <c r="A3" s="40"/>
      <c r="B3" s="36" t="s">
        <v>12</v>
      </c>
      <c r="C3" s="2">
        <v>229</v>
      </c>
      <c r="D3" s="9">
        <v>202</v>
      </c>
      <c r="E3" s="12">
        <v>296</v>
      </c>
      <c r="F3" s="2">
        <v>278</v>
      </c>
      <c r="G3" s="2">
        <v>194</v>
      </c>
      <c r="H3" s="2">
        <v>259</v>
      </c>
      <c r="I3" s="15">
        <v>333</v>
      </c>
      <c r="J3" s="12">
        <v>357</v>
      </c>
      <c r="K3" s="2">
        <v>352</v>
      </c>
      <c r="L3" s="2">
        <v>323</v>
      </c>
      <c r="M3" s="12">
        <v>416</v>
      </c>
      <c r="N3" s="18">
        <v>442</v>
      </c>
      <c r="O3" s="2">
        <v>367</v>
      </c>
      <c r="P3" s="2">
        <v>299</v>
      </c>
      <c r="Q3" s="12" t="s">
        <v>13</v>
      </c>
      <c r="R3" s="12" t="s">
        <v>14</v>
      </c>
      <c r="S3" s="2" t="s">
        <v>15</v>
      </c>
      <c r="T3" s="2">
        <v>486</v>
      </c>
      <c r="U3" s="2">
        <v>436</v>
      </c>
      <c r="V3" s="2">
        <v>502</v>
      </c>
      <c r="W3" s="2">
        <v>561</v>
      </c>
      <c r="X3" s="2">
        <v>417</v>
      </c>
      <c r="Y3" s="2">
        <v>471</v>
      </c>
      <c r="Z3" s="2">
        <v>387</v>
      </c>
      <c r="AA3" s="2">
        <v>404</v>
      </c>
      <c r="AB3" s="2">
        <v>429</v>
      </c>
      <c r="AC3" s="19">
        <v>503</v>
      </c>
      <c r="AD3" s="2">
        <v>407</v>
      </c>
      <c r="AE3" s="2">
        <v>360</v>
      </c>
      <c r="AF3" s="2">
        <v>423</v>
      </c>
      <c r="AG3" s="2">
        <v>413</v>
      </c>
      <c r="AH3" s="2">
        <v>335</v>
      </c>
      <c r="AI3" s="19">
        <v>405</v>
      </c>
      <c r="AJ3" s="2">
        <v>221</v>
      </c>
      <c r="AK3" s="19">
        <v>628</v>
      </c>
      <c r="AL3" s="2">
        <v>454</v>
      </c>
      <c r="AM3" s="2">
        <v>199</v>
      </c>
      <c r="AN3" s="2">
        <v>274</v>
      </c>
      <c r="AO3" s="19">
        <v>379</v>
      </c>
      <c r="AP3" s="19">
        <v>401</v>
      </c>
      <c r="AQ3" s="2">
        <v>182</v>
      </c>
      <c r="AR3" s="2">
        <v>145</v>
      </c>
      <c r="AS3" s="2">
        <v>137</v>
      </c>
      <c r="AT3" s="19">
        <v>163</v>
      </c>
      <c r="AU3" s="19">
        <v>173</v>
      </c>
      <c r="AV3" s="14">
        <v>166</v>
      </c>
      <c r="AW3" s="14">
        <v>189</v>
      </c>
      <c r="AX3" s="14">
        <v>155</v>
      </c>
      <c r="AY3" s="14">
        <v>168</v>
      </c>
      <c r="AZ3" s="14">
        <v>366</v>
      </c>
      <c r="BA3" s="19" t="s">
        <v>8</v>
      </c>
      <c r="BB3" s="14" t="s">
        <v>10</v>
      </c>
    </row>
    <row r="4" spans="1:54">
      <c r="A4" s="40"/>
      <c r="B4" s="36" t="s">
        <v>16</v>
      </c>
      <c r="C4" s="3">
        <v>0.41389999999999999</v>
      </c>
      <c r="D4" s="8">
        <v>0.41570000000000001</v>
      </c>
      <c r="E4" s="13">
        <v>0.40660000000000002</v>
      </c>
      <c r="F4" s="3">
        <v>0.48330000000000001</v>
      </c>
      <c r="G4" s="3">
        <v>0.55649999999999999</v>
      </c>
      <c r="H4" s="3">
        <v>0.44090000000000001</v>
      </c>
      <c r="I4" s="16">
        <v>0.4299</v>
      </c>
      <c r="J4" s="13">
        <v>0.4032</v>
      </c>
      <c r="K4" s="17">
        <v>0.39450000000000002</v>
      </c>
      <c r="L4" s="3">
        <v>0.49249999999999999</v>
      </c>
      <c r="M4" s="3">
        <v>0.52149999999999996</v>
      </c>
      <c r="N4" s="3">
        <v>0.52949999999999997</v>
      </c>
      <c r="O4" s="3">
        <v>0.44769999999999999</v>
      </c>
      <c r="P4" s="3">
        <v>0.47310000000000002</v>
      </c>
      <c r="Q4" s="13">
        <v>0.3826</v>
      </c>
      <c r="R4" s="3">
        <v>0.45029999999999998</v>
      </c>
      <c r="S4" s="3">
        <v>5.5399999999999998E-2</v>
      </c>
      <c r="T4" s="3">
        <v>0.55500000000000005</v>
      </c>
      <c r="U4" s="3">
        <v>0.51180000000000003</v>
      </c>
      <c r="V4" s="3">
        <v>0.51100000000000001</v>
      </c>
      <c r="W4" s="3">
        <v>0.48530000000000001</v>
      </c>
      <c r="X4" s="3">
        <v>0.52429999999999999</v>
      </c>
      <c r="Y4" s="3">
        <v>0.62039999999999995</v>
      </c>
      <c r="Z4" s="3">
        <v>0.59389999999999998</v>
      </c>
      <c r="AA4" s="3">
        <v>0.56259999999999999</v>
      </c>
      <c r="AB4" s="3">
        <v>0.5857</v>
      </c>
      <c r="AC4" s="3">
        <v>0.62419999999999998</v>
      </c>
      <c r="AD4" s="3">
        <v>0.6048</v>
      </c>
      <c r="AE4" s="13">
        <v>0.47539999999999999</v>
      </c>
      <c r="AF4" s="16">
        <v>0.51790000000000003</v>
      </c>
      <c r="AG4" s="21">
        <v>0.4859</v>
      </c>
      <c r="AH4" s="16">
        <v>0.56799999999999995</v>
      </c>
      <c r="AI4" s="22">
        <v>0.51600000000000001</v>
      </c>
      <c r="AJ4" s="16">
        <v>0.55520000000000003</v>
      </c>
      <c r="AK4" s="16">
        <v>0.64290000000000003</v>
      </c>
      <c r="AL4" s="21">
        <v>0.52590000000000003</v>
      </c>
      <c r="AM4" s="21">
        <v>0.4012</v>
      </c>
      <c r="AN4" s="21">
        <v>0.35980000000000001</v>
      </c>
      <c r="AO4" s="16">
        <v>0.48099999999999998</v>
      </c>
      <c r="AP4" s="16">
        <v>0.49409999999999998</v>
      </c>
      <c r="AQ4" s="21">
        <v>0.44009999999999999</v>
      </c>
      <c r="AR4" s="21">
        <v>0.41539999999999999</v>
      </c>
      <c r="AS4" s="16">
        <v>0.49170000000000003</v>
      </c>
      <c r="AT4" s="21">
        <v>0.45419999999999999</v>
      </c>
      <c r="AU4" s="16">
        <v>0.45629999999999998</v>
      </c>
      <c r="AV4" s="21">
        <v>0.44629999999999997</v>
      </c>
      <c r="AW4" s="21">
        <v>0.43</v>
      </c>
      <c r="AX4" s="21">
        <v>0.46350000000000002</v>
      </c>
      <c r="AY4" s="21">
        <v>0.46129999999999999</v>
      </c>
      <c r="AZ4" s="16">
        <v>0.68259999999999998</v>
      </c>
      <c r="BA4" s="16">
        <v>0.79890000000000005</v>
      </c>
      <c r="BB4" s="16">
        <v>0.86619999999999997</v>
      </c>
    </row>
    <row r="5" spans="1:54">
      <c r="A5" s="40"/>
      <c r="B5" s="36" t="s">
        <v>17</v>
      </c>
      <c r="C5" s="2">
        <v>3</v>
      </c>
      <c r="D5" s="9">
        <v>3</v>
      </c>
      <c r="E5" s="2">
        <v>3</v>
      </c>
      <c r="F5" s="2">
        <v>3</v>
      </c>
      <c r="G5" s="2">
        <v>3</v>
      </c>
      <c r="H5" s="2">
        <v>3</v>
      </c>
      <c r="I5" s="2">
        <v>3</v>
      </c>
      <c r="J5" s="2">
        <v>3</v>
      </c>
      <c r="K5" s="2">
        <v>3</v>
      </c>
      <c r="L5" s="2">
        <v>3</v>
      </c>
      <c r="M5" s="2">
        <v>3</v>
      </c>
      <c r="N5" s="2">
        <v>3</v>
      </c>
      <c r="O5" s="2">
        <v>3</v>
      </c>
      <c r="P5" s="2">
        <v>3</v>
      </c>
      <c r="Q5" s="2">
        <v>3</v>
      </c>
      <c r="R5" s="2">
        <v>3</v>
      </c>
      <c r="S5" s="2">
        <v>3</v>
      </c>
      <c r="T5" s="12">
        <v>11</v>
      </c>
      <c r="U5" s="2">
        <v>11</v>
      </c>
      <c r="V5" s="2">
        <v>11</v>
      </c>
      <c r="W5" s="2">
        <v>11</v>
      </c>
      <c r="X5" s="2">
        <v>11</v>
      </c>
      <c r="Y5" s="12">
        <v>12</v>
      </c>
      <c r="Z5" s="2">
        <v>12</v>
      </c>
      <c r="AA5" s="2">
        <v>12</v>
      </c>
      <c r="AB5" s="2">
        <v>12</v>
      </c>
      <c r="AC5" s="2">
        <v>11</v>
      </c>
      <c r="AD5" s="2">
        <v>11</v>
      </c>
      <c r="AE5" s="2">
        <v>11</v>
      </c>
      <c r="AF5" s="2">
        <v>10</v>
      </c>
      <c r="AG5" s="2">
        <v>10</v>
      </c>
      <c r="AH5" s="2">
        <v>10</v>
      </c>
      <c r="AI5" s="2">
        <v>10</v>
      </c>
      <c r="AJ5" s="2">
        <v>9</v>
      </c>
      <c r="AK5" s="2">
        <v>9</v>
      </c>
      <c r="AL5" s="19">
        <v>10</v>
      </c>
      <c r="AM5" s="2">
        <v>10</v>
      </c>
      <c r="AN5" s="2">
        <v>10</v>
      </c>
      <c r="AO5" s="2">
        <v>10</v>
      </c>
      <c r="AP5" s="2">
        <v>10</v>
      </c>
      <c r="AQ5" s="2">
        <v>10</v>
      </c>
      <c r="AR5" s="2">
        <v>10</v>
      </c>
      <c r="AS5" s="2">
        <v>10</v>
      </c>
      <c r="AT5" s="2">
        <v>9</v>
      </c>
      <c r="AU5" s="14">
        <v>9</v>
      </c>
      <c r="AV5" s="14">
        <v>9</v>
      </c>
      <c r="AW5" s="14">
        <v>9</v>
      </c>
      <c r="AX5" s="14">
        <v>9</v>
      </c>
      <c r="AY5" s="14">
        <v>9</v>
      </c>
      <c r="AZ5" s="14">
        <v>9</v>
      </c>
      <c r="BA5" s="14">
        <v>4</v>
      </c>
      <c r="BB5" s="14">
        <v>4</v>
      </c>
    </row>
    <row r="6" spans="1:54">
      <c r="A6" s="40"/>
      <c r="B6" s="36" t="s">
        <v>18</v>
      </c>
      <c r="C6" s="2">
        <v>9</v>
      </c>
      <c r="D6" s="9">
        <v>10</v>
      </c>
      <c r="E6" s="2">
        <v>10</v>
      </c>
      <c r="F6" s="2">
        <v>10</v>
      </c>
      <c r="G6" s="2">
        <v>10</v>
      </c>
      <c r="H6" s="2">
        <v>10</v>
      </c>
      <c r="I6" s="2">
        <v>10</v>
      </c>
      <c r="J6" s="2">
        <v>10</v>
      </c>
      <c r="K6" s="2">
        <v>10</v>
      </c>
      <c r="L6" s="2">
        <v>10</v>
      </c>
      <c r="M6" s="2">
        <v>9</v>
      </c>
      <c r="N6" s="2">
        <v>10</v>
      </c>
      <c r="O6" s="2">
        <v>10</v>
      </c>
      <c r="P6" s="19">
        <v>11</v>
      </c>
      <c r="Q6" s="2">
        <v>11</v>
      </c>
      <c r="R6" s="2">
        <v>11</v>
      </c>
      <c r="S6" s="19">
        <v>12</v>
      </c>
      <c r="T6" s="14">
        <v>12</v>
      </c>
      <c r="U6" s="14">
        <v>12</v>
      </c>
      <c r="V6" s="14">
        <v>12</v>
      </c>
      <c r="W6" s="14">
        <v>12</v>
      </c>
      <c r="X6" s="14">
        <v>12</v>
      </c>
      <c r="Y6" s="14">
        <v>12</v>
      </c>
      <c r="Z6" s="2">
        <v>12</v>
      </c>
      <c r="AA6" s="2">
        <v>12</v>
      </c>
      <c r="AB6" s="2">
        <v>12</v>
      </c>
      <c r="AC6" s="2">
        <v>12</v>
      </c>
      <c r="AD6" s="2">
        <v>12</v>
      </c>
      <c r="AE6" s="2">
        <v>12</v>
      </c>
      <c r="AF6" s="2">
        <v>11</v>
      </c>
      <c r="AG6" s="2">
        <v>11</v>
      </c>
      <c r="AH6" s="2">
        <v>13</v>
      </c>
      <c r="AI6" s="2">
        <v>14</v>
      </c>
      <c r="AJ6" s="2">
        <v>14</v>
      </c>
      <c r="AK6" s="2">
        <v>14</v>
      </c>
      <c r="AL6" s="14">
        <v>13</v>
      </c>
      <c r="AM6" s="2">
        <v>14</v>
      </c>
      <c r="AN6" s="2">
        <v>14</v>
      </c>
      <c r="AO6" s="2">
        <v>14</v>
      </c>
      <c r="AP6" s="2">
        <v>14</v>
      </c>
      <c r="AQ6" s="19">
        <v>16</v>
      </c>
      <c r="AR6" s="14">
        <v>16</v>
      </c>
      <c r="AS6" s="14">
        <v>16</v>
      </c>
      <c r="AT6" s="14">
        <v>16</v>
      </c>
      <c r="AU6" s="14">
        <v>16</v>
      </c>
      <c r="AV6" s="14">
        <v>16</v>
      </c>
      <c r="AW6" s="14">
        <v>16</v>
      </c>
      <c r="AX6" s="14">
        <v>16</v>
      </c>
      <c r="AY6" s="14">
        <v>16</v>
      </c>
      <c r="AZ6" s="14">
        <v>16</v>
      </c>
      <c r="BA6" s="14">
        <v>16</v>
      </c>
      <c r="BB6" s="14">
        <v>16</v>
      </c>
    </row>
    <row r="7" spans="1:54">
      <c r="A7" s="40"/>
      <c r="B7" s="36" t="s">
        <v>19</v>
      </c>
      <c r="C7" s="2">
        <v>2</v>
      </c>
      <c r="D7" s="9">
        <v>0</v>
      </c>
      <c r="E7" s="2">
        <v>1</v>
      </c>
      <c r="F7" s="2">
        <v>2</v>
      </c>
      <c r="G7" s="2">
        <v>0</v>
      </c>
      <c r="H7" s="2">
        <v>0</v>
      </c>
      <c r="I7" s="2">
        <v>4</v>
      </c>
      <c r="J7" s="2">
        <v>1</v>
      </c>
      <c r="K7" s="2">
        <v>0</v>
      </c>
      <c r="L7" s="2">
        <v>1</v>
      </c>
      <c r="M7" s="2">
        <v>1</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c r="AG7" s="2">
        <v>0</v>
      </c>
      <c r="AH7" s="2">
        <v>0</v>
      </c>
      <c r="AI7" s="2">
        <v>0</v>
      </c>
      <c r="AJ7" s="2">
        <v>0</v>
      </c>
      <c r="AK7" s="2">
        <v>0</v>
      </c>
      <c r="AL7" s="2">
        <v>0</v>
      </c>
      <c r="AM7" s="2">
        <v>0</v>
      </c>
      <c r="AN7" s="2">
        <v>0</v>
      </c>
      <c r="AO7" s="2">
        <v>0</v>
      </c>
      <c r="AP7" s="2">
        <v>0</v>
      </c>
      <c r="AQ7" s="2">
        <v>0</v>
      </c>
      <c r="AR7" s="14">
        <v>0</v>
      </c>
      <c r="AS7" s="14">
        <v>0</v>
      </c>
      <c r="AT7" s="14">
        <v>0</v>
      </c>
      <c r="AU7" s="14">
        <v>0</v>
      </c>
      <c r="AV7" s="14">
        <v>0</v>
      </c>
      <c r="AW7" s="14">
        <v>0</v>
      </c>
      <c r="AX7" s="14">
        <v>0</v>
      </c>
      <c r="AY7" s="14">
        <v>0</v>
      </c>
      <c r="AZ7" s="14">
        <v>0</v>
      </c>
      <c r="BA7" s="14">
        <v>0</v>
      </c>
      <c r="BB7" s="14">
        <v>0</v>
      </c>
    </row>
    <row r="8" spans="1:54">
      <c r="A8" s="40"/>
      <c r="B8" s="36" t="s">
        <v>20</v>
      </c>
      <c r="C8" s="2">
        <v>0</v>
      </c>
      <c r="D8" s="9">
        <v>0</v>
      </c>
      <c r="E8" s="2">
        <v>0</v>
      </c>
      <c r="F8" s="2">
        <v>0</v>
      </c>
      <c r="G8" s="2">
        <v>0</v>
      </c>
      <c r="H8" s="2">
        <v>1</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c r="AF8" s="2">
        <v>0</v>
      </c>
      <c r="AG8" s="2">
        <v>0</v>
      </c>
      <c r="AH8" s="2">
        <v>0</v>
      </c>
      <c r="AI8" s="2">
        <v>0</v>
      </c>
      <c r="AJ8" s="2">
        <v>0</v>
      </c>
      <c r="AK8" s="2">
        <v>0</v>
      </c>
      <c r="AL8" s="2">
        <v>0</v>
      </c>
      <c r="AM8" s="2">
        <v>0</v>
      </c>
      <c r="AN8" s="2">
        <v>0</v>
      </c>
      <c r="AO8" s="2">
        <v>0</v>
      </c>
      <c r="AP8" s="2">
        <v>0</v>
      </c>
      <c r="AQ8" s="2">
        <v>0</v>
      </c>
      <c r="AR8" s="14">
        <v>0</v>
      </c>
      <c r="AS8" s="14">
        <v>0</v>
      </c>
      <c r="AT8" s="14">
        <v>0</v>
      </c>
      <c r="AU8" s="14">
        <v>0</v>
      </c>
      <c r="AV8" s="19">
        <v>1</v>
      </c>
      <c r="AW8" s="14">
        <v>0</v>
      </c>
      <c r="AX8" s="19">
        <v>1</v>
      </c>
      <c r="AY8" s="14">
        <v>0</v>
      </c>
      <c r="AZ8" s="14">
        <v>0</v>
      </c>
      <c r="BA8" s="19">
        <v>1</v>
      </c>
      <c r="BB8" s="14">
        <v>0</v>
      </c>
    </row>
    <row r="9" spans="1:54">
      <c r="A9" s="40"/>
      <c r="B9" s="36" t="s">
        <v>21</v>
      </c>
      <c r="C9" s="2">
        <v>20</v>
      </c>
      <c r="D9" s="9">
        <v>20</v>
      </c>
      <c r="E9" s="2">
        <v>20</v>
      </c>
      <c r="F9" s="2">
        <v>20</v>
      </c>
      <c r="G9" s="2">
        <v>19</v>
      </c>
      <c r="H9" s="2">
        <v>19</v>
      </c>
      <c r="I9" s="2">
        <v>19</v>
      </c>
      <c r="J9" s="2">
        <v>19</v>
      </c>
      <c r="K9" s="2">
        <v>19</v>
      </c>
      <c r="L9" s="2">
        <v>19</v>
      </c>
      <c r="M9" s="12">
        <v>21</v>
      </c>
      <c r="N9" s="2">
        <v>21</v>
      </c>
      <c r="O9" s="12">
        <v>22</v>
      </c>
      <c r="P9" s="2">
        <v>21</v>
      </c>
      <c r="Q9" s="2">
        <v>21</v>
      </c>
      <c r="R9" s="12">
        <v>22</v>
      </c>
      <c r="S9" s="12">
        <v>23</v>
      </c>
      <c r="T9" s="12">
        <v>24</v>
      </c>
      <c r="U9" s="2">
        <v>24</v>
      </c>
      <c r="V9" s="2">
        <v>24</v>
      </c>
      <c r="W9" s="2">
        <v>24</v>
      </c>
      <c r="X9" s="2">
        <v>24</v>
      </c>
      <c r="Y9" s="2">
        <v>24</v>
      </c>
      <c r="Z9" s="2">
        <v>24</v>
      </c>
      <c r="AA9" s="2">
        <v>24</v>
      </c>
      <c r="AB9" s="2">
        <v>24</v>
      </c>
      <c r="AC9" s="2">
        <v>24</v>
      </c>
      <c r="AD9" s="2">
        <v>24</v>
      </c>
      <c r="AE9" s="2">
        <v>23</v>
      </c>
      <c r="AF9" s="2">
        <v>23</v>
      </c>
      <c r="AG9" s="2">
        <v>22</v>
      </c>
      <c r="AH9" s="2">
        <v>22</v>
      </c>
      <c r="AI9" s="2">
        <v>22</v>
      </c>
      <c r="AJ9" s="2">
        <v>22</v>
      </c>
      <c r="AK9" s="2">
        <v>22</v>
      </c>
      <c r="AL9" s="2">
        <v>22</v>
      </c>
      <c r="AM9" s="2">
        <v>22</v>
      </c>
      <c r="AN9" s="2">
        <v>22</v>
      </c>
      <c r="AO9" s="2">
        <v>22</v>
      </c>
      <c r="AP9" s="2">
        <v>22</v>
      </c>
      <c r="AQ9" s="19">
        <v>26</v>
      </c>
      <c r="AR9" s="14">
        <v>26</v>
      </c>
      <c r="AS9" s="14">
        <v>26</v>
      </c>
      <c r="AT9" s="19">
        <v>28</v>
      </c>
      <c r="AU9" s="14">
        <v>28</v>
      </c>
      <c r="AV9" s="14">
        <v>28</v>
      </c>
      <c r="AW9" s="14">
        <v>28</v>
      </c>
      <c r="AX9" s="14">
        <v>28</v>
      </c>
      <c r="AY9" s="14">
        <v>28</v>
      </c>
      <c r="AZ9" s="14">
        <v>28</v>
      </c>
      <c r="BA9" s="14">
        <v>28</v>
      </c>
      <c r="BB9" s="14">
        <v>28</v>
      </c>
    </row>
    <row r="10" spans="1:54">
      <c r="A10" s="40"/>
      <c r="B10" s="36" t="s">
        <v>22</v>
      </c>
      <c r="C10" s="2" t="s">
        <v>23</v>
      </c>
      <c r="D10" s="9" t="s">
        <v>23</v>
      </c>
      <c r="E10" s="2" t="s">
        <v>23</v>
      </c>
      <c r="F10" s="2" t="s">
        <v>23</v>
      </c>
      <c r="G10" s="2" t="s">
        <v>23</v>
      </c>
      <c r="H10" s="2" t="s">
        <v>23</v>
      </c>
      <c r="I10" s="2" t="s">
        <v>23</v>
      </c>
      <c r="J10" s="2">
        <v>4</v>
      </c>
      <c r="K10" s="2" t="s">
        <v>23</v>
      </c>
      <c r="L10" s="2" t="s">
        <v>23</v>
      </c>
      <c r="M10" s="2" t="s">
        <v>23</v>
      </c>
      <c r="N10" s="2" t="s">
        <v>23</v>
      </c>
      <c r="O10" s="2" t="s">
        <v>23</v>
      </c>
      <c r="P10" s="2" t="s">
        <v>23</v>
      </c>
      <c r="Q10" s="2">
        <v>1</v>
      </c>
      <c r="R10" s="2">
        <v>1</v>
      </c>
      <c r="S10" s="12">
        <v>3</v>
      </c>
      <c r="T10" s="12">
        <v>6</v>
      </c>
      <c r="U10" s="2">
        <v>6</v>
      </c>
      <c r="V10" s="2">
        <v>7</v>
      </c>
      <c r="W10" s="2">
        <v>7</v>
      </c>
      <c r="X10" s="12">
        <v>9</v>
      </c>
      <c r="Y10" s="2">
        <v>9</v>
      </c>
      <c r="Z10" s="2">
        <v>11</v>
      </c>
      <c r="AA10" s="19">
        <v>13</v>
      </c>
      <c r="AB10" s="19">
        <v>14</v>
      </c>
      <c r="AC10" s="19">
        <v>16</v>
      </c>
      <c r="AD10" s="19">
        <v>19</v>
      </c>
      <c r="AE10" s="19">
        <v>20</v>
      </c>
      <c r="AF10" s="19">
        <v>23</v>
      </c>
      <c r="AG10" s="14">
        <v>23</v>
      </c>
      <c r="AH10" s="14">
        <v>23</v>
      </c>
      <c r="AI10" s="14">
        <v>23</v>
      </c>
      <c r="AJ10" s="19">
        <v>26</v>
      </c>
      <c r="AK10" s="19">
        <v>32</v>
      </c>
      <c r="AL10" s="14">
        <v>32</v>
      </c>
      <c r="AM10" s="19">
        <v>34</v>
      </c>
      <c r="AN10" s="14">
        <v>34</v>
      </c>
      <c r="AO10" s="14">
        <v>32</v>
      </c>
      <c r="AP10" s="14">
        <v>32</v>
      </c>
      <c r="AQ10" s="14">
        <v>31</v>
      </c>
      <c r="AR10" s="14">
        <v>25</v>
      </c>
      <c r="AS10" s="14">
        <v>23</v>
      </c>
      <c r="AT10" s="14">
        <v>20</v>
      </c>
      <c r="AU10" s="14">
        <v>13</v>
      </c>
      <c r="AV10" s="14">
        <v>13</v>
      </c>
      <c r="AW10" s="14">
        <v>13</v>
      </c>
      <c r="AX10" s="14">
        <v>14</v>
      </c>
      <c r="AY10" s="14">
        <v>14</v>
      </c>
      <c r="AZ10" s="14">
        <v>14</v>
      </c>
      <c r="BA10" s="14">
        <v>13</v>
      </c>
      <c r="BB10" s="14">
        <v>12</v>
      </c>
    </row>
    <row r="11" spans="1:54" s="28" customFormat="1" ht="43.5">
      <c r="A11" s="40"/>
      <c r="B11" s="32" t="s">
        <v>24</v>
      </c>
      <c r="C11" s="23">
        <v>29</v>
      </c>
      <c r="D11" s="24">
        <v>29</v>
      </c>
      <c r="E11" s="23">
        <v>28</v>
      </c>
      <c r="F11" s="23">
        <v>31</v>
      </c>
      <c r="G11" s="23">
        <v>33</v>
      </c>
      <c r="H11" s="23">
        <v>35</v>
      </c>
      <c r="I11" s="23">
        <v>35</v>
      </c>
      <c r="J11" s="23">
        <v>158</v>
      </c>
      <c r="K11" s="23">
        <v>163</v>
      </c>
      <c r="L11" s="23">
        <v>168</v>
      </c>
      <c r="M11" s="23">
        <v>172</v>
      </c>
      <c r="N11" s="25">
        <v>182</v>
      </c>
      <c r="O11" s="23">
        <v>184</v>
      </c>
      <c r="P11" s="23">
        <v>190</v>
      </c>
      <c r="Q11" s="23">
        <v>188</v>
      </c>
      <c r="R11" s="25">
        <v>197</v>
      </c>
      <c r="S11" s="25">
        <v>203</v>
      </c>
      <c r="T11" s="25">
        <v>222</v>
      </c>
      <c r="U11" s="25">
        <v>227</v>
      </c>
      <c r="V11" s="23">
        <v>198</v>
      </c>
      <c r="W11" s="23">
        <v>219</v>
      </c>
      <c r="X11" s="25">
        <v>234</v>
      </c>
      <c r="Y11" s="25">
        <v>240</v>
      </c>
      <c r="Z11" s="23">
        <v>241</v>
      </c>
      <c r="AA11" s="26">
        <v>253</v>
      </c>
      <c r="AB11" s="23">
        <v>268</v>
      </c>
      <c r="AC11" s="23">
        <v>277</v>
      </c>
      <c r="AD11" s="23">
        <v>262</v>
      </c>
      <c r="AE11" s="23">
        <v>284</v>
      </c>
      <c r="AF11" s="23">
        <v>299</v>
      </c>
      <c r="AG11" s="26">
        <v>314</v>
      </c>
      <c r="AH11" s="23">
        <v>314</v>
      </c>
      <c r="AI11" s="26">
        <v>322</v>
      </c>
      <c r="AJ11" s="26">
        <v>336</v>
      </c>
      <c r="AK11" s="26">
        <v>340</v>
      </c>
      <c r="AL11" s="27">
        <v>329</v>
      </c>
      <c r="AM11" s="26">
        <v>342</v>
      </c>
      <c r="AN11" s="29" t="s">
        <v>25</v>
      </c>
      <c r="AO11" s="30" t="s">
        <v>26</v>
      </c>
      <c r="AP11" s="29" t="s">
        <v>27</v>
      </c>
      <c r="AQ11" s="29" t="s">
        <v>28</v>
      </c>
      <c r="AR11" s="29" t="s">
        <v>29</v>
      </c>
      <c r="AS11" s="29" t="s">
        <v>30</v>
      </c>
      <c r="AT11" s="29" t="s">
        <v>31</v>
      </c>
      <c r="AU11" s="29" t="s">
        <v>32</v>
      </c>
      <c r="AV11" s="29" t="s">
        <v>33</v>
      </c>
      <c r="AW11" s="29" t="s">
        <v>34</v>
      </c>
      <c r="AX11" s="29" t="s">
        <v>35</v>
      </c>
      <c r="AY11" s="30" t="s">
        <v>36</v>
      </c>
      <c r="AZ11" s="30" t="s">
        <v>37</v>
      </c>
      <c r="BA11" s="29" t="s">
        <v>38</v>
      </c>
      <c r="BB11" s="30" t="s">
        <v>39</v>
      </c>
    </row>
    <row r="12" spans="1:54">
      <c r="A12" s="41"/>
      <c r="B12" s="36" t="s">
        <v>40</v>
      </c>
      <c r="C12" s="2"/>
      <c r="D12" s="2"/>
      <c r="E12" s="2"/>
      <c r="F12" s="2"/>
      <c r="G12" s="2"/>
      <c r="H12" s="2"/>
      <c r="I12" s="2"/>
      <c r="J12" s="2"/>
      <c r="K12" s="2"/>
      <c r="L12" s="2"/>
      <c r="M12" s="2"/>
      <c r="N12" s="2"/>
      <c r="O12" s="2"/>
      <c r="P12" s="2"/>
      <c r="Q12" s="2"/>
      <c r="R12" s="2"/>
      <c r="S12" s="2"/>
      <c r="T12" s="2"/>
      <c r="U12" s="2"/>
      <c r="V12" s="2"/>
      <c r="W12" s="2"/>
      <c r="X12" s="2"/>
      <c r="Y12" s="2"/>
      <c r="Z12" s="2"/>
      <c r="AA12" s="2" t="s">
        <v>41</v>
      </c>
      <c r="AB12" s="2" t="s">
        <v>42</v>
      </c>
      <c r="AC12" s="2" t="s">
        <v>43</v>
      </c>
      <c r="AD12" s="2" t="s">
        <v>44</v>
      </c>
      <c r="AE12" s="2" t="s">
        <v>45</v>
      </c>
      <c r="AF12" s="2" t="s">
        <v>46</v>
      </c>
      <c r="AG12" s="2" t="s">
        <v>47</v>
      </c>
      <c r="AH12" s="2" t="s">
        <v>47</v>
      </c>
      <c r="AI12" s="2" t="s">
        <v>48</v>
      </c>
      <c r="AJ12" s="2" t="s">
        <v>49</v>
      </c>
      <c r="AK12" s="2" t="s">
        <v>50</v>
      </c>
      <c r="AL12" s="19" t="s">
        <v>51</v>
      </c>
      <c r="AM12" s="19" t="s">
        <v>52</v>
      </c>
      <c r="AN12" s="2" t="s">
        <v>53</v>
      </c>
      <c r="AO12" s="31" t="s">
        <v>54</v>
      </c>
      <c r="AP12" s="19" t="s">
        <v>55</v>
      </c>
      <c r="AQ12" s="2" t="s">
        <v>56</v>
      </c>
      <c r="AR12" s="2" t="s">
        <v>57</v>
      </c>
      <c r="AS12" s="2" t="s">
        <v>58</v>
      </c>
      <c r="AT12" s="2" t="s">
        <v>59</v>
      </c>
      <c r="AU12" s="14" t="s">
        <v>60</v>
      </c>
      <c r="AV12" s="14" t="s">
        <v>61</v>
      </c>
      <c r="AW12" s="14" t="s">
        <v>62</v>
      </c>
      <c r="AX12" s="14" t="s">
        <v>63</v>
      </c>
      <c r="AY12" s="14" t="s">
        <v>64</v>
      </c>
      <c r="AZ12" s="14" t="s">
        <v>65</v>
      </c>
      <c r="BA12" s="14" t="s">
        <v>66</v>
      </c>
      <c r="BB12" s="14" t="s">
        <v>67</v>
      </c>
    </row>
    <row r="13" spans="1:54" hidden="1">
      <c r="A13" s="39" t="s">
        <v>68</v>
      </c>
      <c r="B13" s="36" t="s">
        <v>69</v>
      </c>
      <c r="C13" s="2">
        <v>2009</v>
      </c>
      <c r="D13" s="2">
        <v>2146</v>
      </c>
      <c r="E13" s="2"/>
      <c r="F13" s="2"/>
      <c r="G13" s="2">
        <v>1611</v>
      </c>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14"/>
      <c r="AV13" s="14"/>
      <c r="AW13" s="14"/>
      <c r="AX13" s="14"/>
      <c r="AY13" s="14"/>
      <c r="AZ13" s="14"/>
      <c r="BA13" s="14"/>
      <c r="BB13" s="14"/>
    </row>
    <row r="14" spans="1:54" hidden="1">
      <c r="A14" s="40"/>
      <c r="B14" s="36" t="s">
        <v>70</v>
      </c>
      <c r="C14" s="2">
        <v>1834</v>
      </c>
      <c r="D14" s="2">
        <v>2374</v>
      </c>
      <c r="E14" s="2"/>
      <c r="F14" s="2"/>
      <c r="G14" s="12">
        <v>3607</v>
      </c>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14"/>
      <c r="AV14" s="14"/>
      <c r="AW14" s="14"/>
      <c r="AX14" s="14"/>
      <c r="AY14" s="14"/>
      <c r="AZ14" s="14"/>
      <c r="BA14" s="14"/>
      <c r="BB14" s="14"/>
    </row>
    <row r="15" spans="1:54" hidden="1">
      <c r="A15" s="40"/>
      <c r="B15" s="36" t="s">
        <v>71</v>
      </c>
      <c r="C15" s="2">
        <v>37</v>
      </c>
      <c r="D15" s="2">
        <v>49</v>
      </c>
      <c r="E15" s="2"/>
      <c r="F15" s="2"/>
      <c r="G15" s="12">
        <v>81</v>
      </c>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14"/>
      <c r="AV15" s="14"/>
      <c r="AW15" s="14"/>
      <c r="AX15" s="14"/>
      <c r="AY15" s="14"/>
      <c r="AZ15" s="14"/>
      <c r="BA15" s="14"/>
      <c r="BB15" s="14"/>
    </row>
    <row r="16" spans="1:54" hidden="1">
      <c r="A16" s="40"/>
      <c r="B16" s="36" t="s">
        <v>72</v>
      </c>
      <c r="C16" s="2">
        <v>1</v>
      </c>
      <c r="D16" s="2">
        <v>3</v>
      </c>
      <c r="E16" s="2"/>
      <c r="F16" s="2"/>
      <c r="G16" s="2">
        <v>2</v>
      </c>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14"/>
      <c r="AV16" s="14"/>
      <c r="AW16" s="14"/>
      <c r="AX16" s="14"/>
      <c r="AY16" s="14"/>
      <c r="AZ16" s="14"/>
      <c r="BA16" s="14"/>
      <c r="BB16" s="14"/>
    </row>
    <row r="17" spans="1:54" hidden="1">
      <c r="A17" s="40"/>
      <c r="B17" s="36" t="s">
        <v>73</v>
      </c>
      <c r="C17" s="2">
        <v>0</v>
      </c>
      <c r="D17" s="2">
        <v>0</v>
      </c>
      <c r="E17" s="2"/>
      <c r="F17" s="2"/>
      <c r="G17" s="2">
        <v>0</v>
      </c>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14"/>
      <c r="AV17" s="14"/>
      <c r="AW17" s="14"/>
      <c r="AX17" s="14"/>
      <c r="AY17" s="14"/>
      <c r="AZ17" s="14"/>
      <c r="BA17" s="14"/>
      <c r="BB17" s="14"/>
    </row>
    <row r="18" spans="1:54" hidden="1">
      <c r="A18" s="40"/>
      <c r="B18" s="36" t="s">
        <v>74</v>
      </c>
      <c r="C18" s="2" t="s">
        <v>75</v>
      </c>
      <c r="D18" s="2" t="s">
        <v>76</v>
      </c>
      <c r="E18" s="2"/>
      <c r="F18" s="2"/>
      <c r="G18" s="2" t="s">
        <v>77</v>
      </c>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c r="AV18" s="14"/>
      <c r="AW18" s="14"/>
      <c r="AX18" s="14"/>
      <c r="AY18" s="14"/>
      <c r="AZ18" s="14"/>
      <c r="BA18" s="14"/>
      <c r="BB18" s="14"/>
    </row>
    <row r="19" spans="1:54" hidden="1">
      <c r="A19" s="40"/>
      <c r="B19" s="36" t="s">
        <v>78</v>
      </c>
      <c r="C19" s="2">
        <v>0</v>
      </c>
      <c r="D19" s="2">
        <v>0</v>
      </c>
      <c r="E19" s="2">
        <v>0</v>
      </c>
      <c r="F19" s="2">
        <v>1</v>
      </c>
      <c r="G19" s="2">
        <v>0</v>
      </c>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c r="AV19" s="14"/>
      <c r="AW19" s="14"/>
      <c r="AX19" s="14"/>
      <c r="AY19" s="14"/>
      <c r="AZ19" s="14"/>
      <c r="BA19" s="14"/>
      <c r="BB19" s="14"/>
    </row>
    <row r="20" spans="1:54" hidden="1">
      <c r="A20" s="41"/>
      <c r="B20" s="36"/>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14"/>
      <c r="AV20" s="14"/>
      <c r="AW20" s="14"/>
      <c r="AX20" s="14"/>
      <c r="AY20" s="14"/>
      <c r="AZ20" s="14"/>
      <c r="BA20" s="14"/>
      <c r="BB20" s="14"/>
    </row>
    <row r="21" spans="1:54">
      <c r="A21" s="39" t="s">
        <v>79</v>
      </c>
      <c r="B21" s="36" t="s">
        <v>80</v>
      </c>
      <c r="C21" s="2" t="s">
        <v>23</v>
      </c>
      <c r="D21" s="2" t="s">
        <v>23</v>
      </c>
      <c r="E21" s="12">
        <v>1</v>
      </c>
      <c r="F21" s="2">
        <v>0</v>
      </c>
      <c r="G21" s="2">
        <v>1</v>
      </c>
      <c r="H21" s="2">
        <v>0</v>
      </c>
      <c r="I21" s="2">
        <v>0</v>
      </c>
      <c r="J21" s="2">
        <v>0</v>
      </c>
      <c r="K21" s="2">
        <v>1</v>
      </c>
      <c r="L21" s="2">
        <v>3</v>
      </c>
      <c r="M21" s="2">
        <v>4</v>
      </c>
      <c r="N21" s="2">
        <v>5</v>
      </c>
      <c r="O21" s="2">
        <v>3</v>
      </c>
      <c r="P21" s="2">
        <v>0</v>
      </c>
      <c r="Q21" s="2">
        <v>1</v>
      </c>
      <c r="R21" s="2">
        <v>0</v>
      </c>
      <c r="S21" s="2" t="s">
        <v>81</v>
      </c>
      <c r="T21" s="2">
        <v>0</v>
      </c>
      <c r="U21" s="2">
        <v>0</v>
      </c>
      <c r="V21" s="2">
        <v>0</v>
      </c>
      <c r="W21" s="2">
        <v>0</v>
      </c>
      <c r="X21" s="2">
        <v>0</v>
      </c>
      <c r="Y21" s="2">
        <v>0</v>
      </c>
      <c r="Z21" s="2">
        <v>0</v>
      </c>
      <c r="AA21" s="2">
        <v>0</v>
      </c>
      <c r="AB21" s="2">
        <v>0</v>
      </c>
      <c r="AC21" s="2">
        <v>0</v>
      </c>
      <c r="AD21" s="2">
        <v>0</v>
      </c>
      <c r="AE21" s="2">
        <v>1</v>
      </c>
      <c r="AF21" s="2">
        <v>0</v>
      </c>
      <c r="AG21" s="2">
        <v>0</v>
      </c>
      <c r="AH21" s="2">
        <v>0</v>
      </c>
      <c r="AI21" s="2">
        <v>0</v>
      </c>
      <c r="AJ21" s="2">
        <v>0</v>
      </c>
      <c r="AK21" s="2">
        <v>0</v>
      </c>
      <c r="AL21" s="2">
        <v>0</v>
      </c>
      <c r="AM21" s="2">
        <v>0</v>
      </c>
      <c r="AN21" s="2">
        <v>0</v>
      </c>
      <c r="AO21" s="2">
        <v>0</v>
      </c>
      <c r="AP21" s="2">
        <v>0</v>
      </c>
      <c r="AQ21" s="2">
        <v>1</v>
      </c>
      <c r="AR21" s="2">
        <v>0</v>
      </c>
      <c r="AS21" s="2">
        <v>0</v>
      </c>
      <c r="AT21" s="2">
        <v>4</v>
      </c>
      <c r="AU21" s="19">
        <v>5</v>
      </c>
      <c r="AV21" s="19">
        <v>5</v>
      </c>
      <c r="AW21" s="14">
        <v>3</v>
      </c>
      <c r="AX21" s="14">
        <v>5</v>
      </c>
      <c r="AY21" s="14">
        <v>4</v>
      </c>
      <c r="AZ21" s="14">
        <v>3</v>
      </c>
      <c r="BA21" s="14">
        <v>3</v>
      </c>
      <c r="BB21" s="14">
        <v>3</v>
      </c>
    </row>
    <row r="22" spans="1:54">
      <c r="A22" s="40"/>
      <c r="B22" s="36" t="s">
        <v>73</v>
      </c>
      <c r="C22" s="2" t="s">
        <v>23</v>
      </c>
      <c r="D22" s="2" t="s">
        <v>23</v>
      </c>
      <c r="E22" s="2">
        <v>0</v>
      </c>
      <c r="F22" s="2">
        <v>0</v>
      </c>
      <c r="G22" s="2">
        <v>0</v>
      </c>
      <c r="H22" s="2">
        <v>0</v>
      </c>
      <c r="I22" s="2">
        <v>0</v>
      </c>
      <c r="J22" s="2">
        <v>0</v>
      </c>
      <c r="K22" s="2">
        <v>0</v>
      </c>
      <c r="L22" s="2">
        <v>0</v>
      </c>
      <c r="M22" s="2">
        <v>0</v>
      </c>
      <c r="N22" s="2">
        <v>0</v>
      </c>
      <c r="O22" s="2">
        <v>0</v>
      </c>
      <c r="P22" s="2">
        <v>0</v>
      </c>
      <c r="Q22" s="2">
        <v>0</v>
      </c>
      <c r="R22" s="2">
        <v>0</v>
      </c>
      <c r="S22" s="2" t="s">
        <v>81</v>
      </c>
      <c r="T22" s="2">
        <v>0</v>
      </c>
      <c r="U22" s="2">
        <v>0</v>
      </c>
      <c r="V22" s="2">
        <v>0</v>
      </c>
      <c r="W22" s="2">
        <v>0</v>
      </c>
      <c r="X22" s="2">
        <v>0</v>
      </c>
      <c r="Y22" s="2">
        <v>0</v>
      </c>
      <c r="Z22" s="2">
        <v>0</v>
      </c>
      <c r="AA22" s="2">
        <v>0</v>
      </c>
      <c r="AB22" s="2">
        <v>0</v>
      </c>
      <c r="AC22" s="2">
        <v>0</v>
      </c>
      <c r="AD22" s="2">
        <v>0</v>
      </c>
      <c r="AE22" s="2">
        <v>0</v>
      </c>
      <c r="AF22" s="2">
        <v>0</v>
      </c>
      <c r="AG22" s="2">
        <v>0</v>
      </c>
      <c r="AH22" s="2">
        <v>0</v>
      </c>
      <c r="AI22" s="2">
        <v>0</v>
      </c>
      <c r="AJ22" s="2">
        <v>0</v>
      </c>
      <c r="AK22" s="2">
        <v>0</v>
      </c>
      <c r="AL22" s="2">
        <v>0</v>
      </c>
      <c r="AM22" s="2">
        <v>0</v>
      </c>
      <c r="AN22" s="2">
        <v>0</v>
      </c>
      <c r="AO22" s="2">
        <v>0</v>
      </c>
      <c r="AP22" s="2">
        <v>0</v>
      </c>
      <c r="AQ22" s="2">
        <v>0</v>
      </c>
      <c r="AR22" s="2">
        <v>0</v>
      </c>
      <c r="AS22" s="2">
        <v>0</v>
      </c>
      <c r="AT22" s="2">
        <v>0</v>
      </c>
      <c r="AU22" s="14">
        <v>0</v>
      </c>
      <c r="AV22" s="14">
        <v>0</v>
      </c>
      <c r="AW22" s="14">
        <v>0</v>
      </c>
      <c r="AX22" s="14">
        <v>0</v>
      </c>
      <c r="AY22" s="14">
        <v>0</v>
      </c>
      <c r="AZ22" s="14">
        <v>0</v>
      </c>
      <c r="BA22" s="14">
        <v>0</v>
      </c>
      <c r="BB22" s="14">
        <v>0</v>
      </c>
    </row>
    <row r="23" spans="1:54">
      <c r="A23" s="41"/>
      <c r="B23" s="36"/>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14"/>
      <c r="AV23" s="14"/>
      <c r="AW23" s="14"/>
      <c r="AX23" s="14"/>
      <c r="AY23" s="14"/>
      <c r="AZ23" s="14"/>
      <c r="BA23" s="14"/>
      <c r="BB23" s="14"/>
    </row>
    <row r="24" spans="1:54" ht="14.45" customHeight="1">
      <c r="A24" s="39" t="s">
        <v>82</v>
      </c>
      <c r="B24" s="36" t="s">
        <v>83</v>
      </c>
      <c r="C24" s="2">
        <v>4.4000000000000004</v>
      </c>
      <c r="D24" s="2">
        <v>4.4000000000000004</v>
      </c>
      <c r="E24" s="2">
        <v>4.4000000000000004</v>
      </c>
      <c r="F24" s="2">
        <v>4.2</v>
      </c>
      <c r="G24" s="2">
        <v>4.2</v>
      </c>
      <c r="H24" s="2">
        <v>4.2</v>
      </c>
      <c r="I24" s="2">
        <v>4.2</v>
      </c>
      <c r="J24" s="2">
        <v>4.2</v>
      </c>
      <c r="K24" s="2">
        <v>4.2</v>
      </c>
      <c r="L24" s="2">
        <v>4.2</v>
      </c>
      <c r="M24" s="2">
        <v>4.2</v>
      </c>
      <c r="N24" s="2">
        <v>4.2</v>
      </c>
      <c r="O24" s="2">
        <v>4.2</v>
      </c>
      <c r="P24" s="2">
        <v>4.2</v>
      </c>
      <c r="Q24" s="2">
        <v>4.2</v>
      </c>
      <c r="R24" s="2">
        <v>4.2</v>
      </c>
      <c r="S24" s="2">
        <v>4.2</v>
      </c>
      <c r="T24" s="2">
        <v>4.2</v>
      </c>
      <c r="U24" s="2">
        <v>4.2</v>
      </c>
      <c r="V24" s="2">
        <v>4.2</v>
      </c>
      <c r="W24" s="2">
        <v>4.2</v>
      </c>
      <c r="X24" s="2">
        <v>4.2</v>
      </c>
      <c r="Y24" s="2">
        <v>4.2</v>
      </c>
      <c r="Z24" s="20">
        <v>3.9</v>
      </c>
      <c r="AA24" s="20">
        <v>3.9</v>
      </c>
      <c r="AB24" s="20">
        <v>3.9</v>
      </c>
      <c r="AC24" s="20">
        <v>3.9</v>
      </c>
      <c r="AD24" s="20">
        <v>3.9</v>
      </c>
      <c r="AE24" s="20">
        <v>3.9</v>
      </c>
      <c r="AF24" s="20">
        <v>3.9</v>
      </c>
      <c r="AG24" s="20">
        <v>3.9</v>
      </c>
      <c r="AH24" s="2">
        <v>3.9</v>
      </c>
      <c r="AI24" s="2">
        <v>3.9</v>
      </c>
      <c r="AJ24" s="2">
        <v>3.9</v>
      </c>
      <c r="AK24" s="2">
        <v>3.9</v>
      </c>
      <c r="AL24" s="2">
        <v>3.9</v>
      </c>
      <c r="AM24" s="2">
        <v>3.9</v>
      </c>
      <c r="AN24" s="2">
        <v>3.9</v>
      </c>
      <c r="AO24" s="2">
        <v>4</v>
      </c>
      <c r="AP24" s="2">
        <v>4</v>
      </c>
      <c r="AQ24" s="2">
        <v>4</v>
      </c>
      <c r="AR24" s="2">
        <v>4</v>
      </c>
      <c r="AS24" s="2">
        <v>4</v>
      </c>
      <c r="AT24" s="2">
        <v>4</v>
      </c>
      <c r="AU24" s="14">
        <v>4</v>
      </c>
      <c r="AV24" s="14">
        <v>4</v>
      </c>
      <c r="AW24" s="14">
        <v>4</v>
      </c>
      <c r="AX24" s="14">
        <v>4</v>
      </c>
      <c r="AY24" s="14">
        <v>4</v>
      </c>
      <c r="AZ24" s="14">
        <v>4</v>
      </c>
      <c r="BA24" s="14">
        <v>4</v>
      </c>
      <c r="BB24" s="14">
        <v>4</v>
      </c>
    </row>
    <row r="25" spans="1:54">
      <c r="A25" s="40"/>
      <c r="B25" s="36" t="s">
        <v>84</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45">
        <v>0</v>
      </c>
      <c r="W25" s="46"/>
      <c r="X25" s="46"/>
      <c r="Y25" s="47"/>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14">
        <v>0</v>
      </c>
      <c r="AV25" s="14">
        <v>0</v>
      </c>
      <c r="AW25" s="14">
        <v>0</v>
      </c>
      <c r="AX25" s="14">
        <v>0</v>
      </c>
      <c r="AY25" s="14">
        <v>0</v>
      </c>
      <c r="AZ25" s="14">
        <v>0</v>
      </c>
      <c r="BA25" s="14">
        <v>0</v>
      </c>
      <c r="BB25" s="14">
        <v>0</v>
      </c>
    </row>
    <row r="26" spans="1:54" ht="14.45" customHeight="1">
      <c r="A26" s="40"/>
      <c r="B26" s="36" t="s">
        <v>85</v>
      </c>
      <c r="C26" s="2">
        <v>12</v>
      </c>
      <c r="D26" s="2">
        <v>12</v>
      </c>
      <c r="E26" s="2">
        <v>18</v>
      </c>
      <c r="F26" s="2">
        <v>2</v>
      </c>
      <c r="G26" s="2">
        <v>2</v>
      </c>
      <c r="H26" s="2">
        <v>0</v>
      </c>
      <c r="I26" s="2">
        <v>0</v>
      </c>
      <c r="J26" s="2">
        <v>5</v>
      </c>
      <c r="K26" s="2">
        <v>5</v>
      </c>
      <c r="L26" s="2">
        <v>4</v>
      </c>
      <c r="M26" s="2">
        <v>2</v>
      </c>
      <c r="N26" s="2">
        <v>4</v>
      </c>
      <c r="O26" s="2"/>
      <c r="P26" s="2"/>
      <c r="Q26" s="2"/>
      <c r="R26" s="2"/>
      <c r="S26" s="2"/>
      <c r="T26" s="2"/>
      <c r="U26" s="2"/>
      <c r="V26" s="45">
        <v>17</v>
      </c>
      <c r="W26" s="46"/>
      <c r="X26" s="46"/>
      <c r="Y26" s="47"/>
      <c r="Z26" s="45">
        <v>14</v>
      </c>
      <c r="AA26" s="46"/>
      <c r="AB26" s="46"/>
      <c r="AC26" s="47"/>
      <c r="AD26" s="42">
        <v>16</v>
      </c>
      <c r="AE26" s="43"/>
      <c r="AF26" s="43"/>
      <c r="AG26" s="44"/>
      <c r="AH26" s="2">
        <v>0</v>
      </c>
      <c r="AI26" s="2">
        <v>4</v>
      </c>
      <c r="AJ26" s="2">
        <v>8</v>
      </c>
      <c r="AK26" s="2">
        <v>10</v>
      </c>
      <c r="AL26" s="2">
        <v>19</v>
      </c>
      <c r="AM26" s="2">
        <v>0</v>
      </c>
      <c r="AN26" s="2">
        <v>9</v>
      </c>
      <c r="AO26" s="2">
        <v>10</v>
      </c>
      <c r="AP26" s="2">
        <v>11</v>
      </c>
      <c r="AQ26" s="2">
        <v>0</v>
      </c>
      <c r="AR26" s="2">
        <v>7</v>
      </c>
      <c r="AS26" s="2">
        <v>9</v>
      </c>
      <c r="AT26" s="2">
        <v>20</v>
      </c>
      <c r="AU26" s="19">
        <v>25</v>
      </c>
      <c r="AV26" s="14">
        <v>0</v>
      </c>
      <c r="AW26" s="14">
        <v>16</v>
      </c>
      <c r="AX26" s="14">
        <v>18</v>
      </c>
      <c r="AY26" s="14">
        <v>18</v>
      </c>
      <c r="AZ26" s="14">
        <v>0</v>
      </c>
      <c r="BA26" s="14">
        <v>26</v>
      </c>
      <c r="BB26" s="14">
        <v>26</v>
      </c>
    </row>
    <row r="27" spans="1:54">
      <c r="A27" s="41"/>
      <c r="B27" s="36" t="s">
        <v>86</v>
      </c>
      <c r="C27" s="2">
        <v>52</v>
      </c>
      <c r="D27" s="2">
        <v>64</v>
      </c>
      <c r="E27" s="2">
        <v>9</v>
      </c>
      <c r="F27" s="2">
        <v>9</v>
      </c>
      <c r="G27" s="2">
        <v>12</v>
      </c>
      <c r="H27" s="2">
        <v>20</v>
      </c>
      <c r="I27" s="2">
        <v>7</v>
      </c>
      <c r="J27" s="2">
        <f>39-7</f>
        <v>32</v>
      </c>
      <c r="K27" s="2">
        <v>8</v>
      </c>
      <c r="L27" s="2">
        <v>14</v>
      </c>
      <c r="M27" s="2">
        <v>14</v>
      </c>
      <c r="N27" s="2">
        <v>17</v>
      </c>
      <c r="O27" s="2"/>
      <c r="P27" s="2"/>
      <c r="Q27" s="2"/>
      <c r="R27" s="2"/>
      <c r="S27" s="2"/>
      <c r="T27" s="2"/>
      <c r="U27" s="2"/>
      <c r="V27" s="45">
        <v>108</v>
      </c>
      <c r="W27" s="46"/>
      <c r="X27" s="46"/>
      <c r="Y27" s="47"/>
      <c r="Z27" s="45">
        <v>88</v>
      </c>
      <c r="AA27" s="46"/>
      <c r="AB27" s="46"/>
      <c r="AC27" s="47"/>
      <c r="AD27" s="45">
        <v>119</v>
      </c>
      <c r="AE27" s="46"/>
      <c r="AF27" s="46"/>
      <c r="AG27" s="47"/>
      <c r="AH27" s="2">
        <v>0</v>
      </c>
      <c r="AI27" s="2">
        <v>10</v>
      </c>
      <c r="AJ27" s="2">
        <v>58</v>
      </c>
      <c r="AK27" s="2">
        <v>67</v>
      </c>
      <c r="AL27" s="2">
        <v>96</v>
      </c>
      <c r="AM27" s="2">
        <v>10</v>
      </c>
      <c r="AN27" s="2">
        <v>44</v>
      </c>
      <c r="AO27" s="2">
        <v>61</v>
      </c>
      <c r="AP27" s="2">
        <v>86</v>
      </c>
      <c r="AQ27" s="2">
        <v>0</v>
      </c>
      <c r="AR27" s="2">
        <v>42</v>
      </c>
      <c r="AS27" s="2">
        <v>74</v>
      </c>
      <c r="AT27" s="2">
        <v>114</v>
      </c>
      <c r="AU27" s="19">
        <v>159</v>
      </c>
      <c r="AV27" s="14">
        <v>0</v>
      </c>
      <c r="AW27" s="14">
        <v>44</v>
      </c>
      <c r="AX27" s="14">
        <v>67</v>
      </c>
      <c r="AY27" s="14">
        <v>74</v>
      </c>
      <c r="AZ27" s="14">
        <v>0</v>
      </c>
      <c r="BA27" s="14">
        <v>66</v>
      </c>
      <c r="BB27" s="14">
        <v>71</v>
      </c>
    </row>
    <row r="28" spans="1:54">
      <c r="A28" s="39" t="s">
        <v>87</v>
      </c>
      <c r="B28" s="36" t="s">
        <v>88</v>
      </c>
      <c r="C28" s="2">
        <v>4</v>
      </c>
      <c r="D28" s="2">
        <v>2</v>
      </c>
      <c r="E28" s="2">
        <v>4</v>
      </c>
      <c r="F28" s="2">
        <v>3</v>
      </c>
      <c r="G28" s="2">
        <v>3</v>
      </c>
      <c r="H28" s="2">
        <v>0</v>
      </c>
      <c r="I28" s="2">
        <v>5</v>
      </c>
      <c r="J28" s="2">
        <v>5</v>
      </c>
      <c r="K28" s="2">
        <v>5</v>
      </c>
      <c r="L28" s="2">
        <v>5</v>
      </c>
      <c r="M28" s="2">
        <v>5</v>
      </c>
      <c r="N28" s="2">
        <v>5</v>
      </c>
      <c r="O28" s="2">
        <v>4</v>
      </c>
      <c r="P28" s="2">
        <v>0</v>
      </c>
      <c r="Q28" s="2">
        <v>5</v>
      </c>
      <c r="R28" s="2">
        <v>4</v>
      </c>
      <c r="S28" s="2">
        <v>5</v>
      </c>
      <c r="T28" s="2">
        <v>5</v>
      </c>
      <c r="U28" s="2">
        <v>5</v>
      </c>
      <c r="V28" s="2">
        <v>5</v>
      </c>
      <c r="W28" s="2">
        <v>5</v>
      </c>
      <c r="X28" s="2">
        <v>5</v>
      </c>
      <c r="Y28" s="2">
        <v>5</v>
      </c>
      <c r="Z28" s="2">
        <v>2</v>
      </c>
      <c r="AA28" s="2">
        <v>0</v>
      </c>
      <c r="AB28" s="2">
        <v>0</v>
      </c>
      <c r="AC28" s="2">
        <v>0</v>
      </c>
      <c r="AD28" s="2">
        <v>0</v>
      </c>
      <c r="AE28" s="2">
        <v>0</v>
      </c>
      <c r="AF28" s="2">
        <v>0</v>
      </c>
      <c r="AG28" s="2">
        <v>0</v>
      </c>
      <c r="AH28" s="2">
        <v>0</v>
      </c>
      <c r="AI28" s="2">
        <v>0</v>
      </c>
      <c r="AJ28" s="2">
        <v>1</v>
      </c>
      <c r="AK28" s="2">
        <v>1</v>
      </c>
      <c r="AL28" s="2">
        <v>1</v>
      </c>
      <c r="AM28" s="2">
        <v>2</v>
      </c>
      <c r="AN28" s="2">
        <v>2</v>
      </c>
      <c r="AO28" s="2">
        <v>0</v>
      </c>
      <c r="AP28" s="2" t="s">
        <v>89</v>
      </c>
      <c r="AQ28" s="2">
        <v>0</v>
      </c>
      <c r="AR28" s="2">
        <v>0</v>
      </c>
      <c r="AS28" s="2">
        <v>0</v>
      </c>
      <c r="AT28" s="2">
        <v>0</v>
      </c>
      <c r="AU28" s="14">
        <v>0</v>
      </c>
      <c r="AV28" s="14">
        <v>0</v>
      </c>
      <c r="AW28" s="14">
        <v>0</v>
      </c>
      <c r="AX28" s="14">
        <v>0</v>
      </c>
      <c r="AY28" s="14">
        <v>0</v>
      </c>
      <c r="AZ28" s="14">
        <v>0</v>
      </c>
      <c r="BA28" s="14">
        <v>0</v>
      </c>
      <c r="BB28" s="14">
        <v>0</v>
      </c>
    </row>
    <row r="29" spans="1:54">
      <c r="A29" s="40"/>
      <c r="B29" s="36" t="s">
        <v>90</v>
      </c>
      <c r="C29" s="2">
        <v>0</v>
      </c>
      <c r="D29" s="2">
        <v>0</v>
      </c>
      <c r="E29" s="2">
        <v>0</v>
      </c>
      <c r="F29" s="2">
        <v>0</v>
      </c>
      <c r="G29" s="2">
        <v>0</v>
      </c>
      <c r="H29" s="2">
        <v>0</v>
      </c>
      <c r="I29" s="2">
        <v>0</v>
      </c>
      <c r="J29" s="2">
        <v>0</v>
      </c>
      <c r="K29" s="2">
        <v>0</v>
      </c>
      <c r="L29" s="2">
        <v>0</v>
      </c>
      <c r="M29" s="2">
        <v>0</v>
      </c>
      <c r="N29" s="2">
        <v>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14"/>
      <c r="AV29" s="14"/>
      <c r="AW29" s="14"/>
      <c r="AX29" s="14"/>
      <c r="AY29" s="14"/>
      <c r="AZ29" s="14"/>
      <c r="BA29" s="14"/>
      <c r="BB29" s="14"/>
    </row>
    <row r="30" spans="1:54">
      <c r="A30" s="40"/>
      <c r="B30" s="36" t="s">
        <v>91</v>
      </c>
      <c r="C30" s="2">
        <v>4</v>
      </c>
      <c r="D30" s="2">
        <v>5</v>
      </c>
      <c r="E30" s="2">
        <v>4</v>
      </c>
      <c r="F30" s="2">
        <v>4</v>
      </c>
      <c r="G30" s="2">
        <v>4</v>
      </c>
      <c r="H30" s="2">
        <v>0</v>
      </c>
      <c r="I30" s="2">
        <v>5</v>
      </c>
      <c r="J30" s="2">
        <v>5</v>
      </c>
      <c r="K30" s="2">
        <v>5</v>
      </c>
      <c r="L30" s="2">
        <v>5</v>
      </c>
      <c r="M30" s="2">
        <v>5</v>
      </c>
      <c r="N30" s="2">
        <v>5</v>
      </c>
      <c r="O30" s="2">
        <v>4</v>
      </c>
      <c r="P30" s="2">
        <v>0</v>
      </c>
      <c r="Q30" s="2">
        <v>5</v>
      </c>
      <c r="R30" s="2">
        <v>4</v>
      </c>
      <c r="S30" s="2">
        <v>5</v>
      </c>
      <c r="T30" s="2">
        <v>5</v>
      </c>
      <c r="U30" s="2">
        <v>5</v>
      </c>
      <c r="V30" s="2">
        <v>5</v>
      </c>
      <c r="W30" s="2">
        <v>5</v>
      </c>
      <c r="X30" s="2">
        <v>5</v>
      </c>
      <c r="Y30" s="2">
        <v>5</v>
      </c>
      <c r="Z30" s="2"/>
      <c r="AA30" s="2"/>
      <c r="AB30" s="2"/>
      <c r="AC30" s="2"/>
      <c r="AD30" s="2"/>
      <c r="AE30" s="2"/>
      <c r="AF30" s="2"/>
      <c r="AG30" s="2"/>
      <c r="AH30" s="2"/>
      <c r="AI30" s="2"/>
      <c r="AJ30" s="2"/>
      <c r="AK30" s="2"/>
      <c r="AL30" s="2"/>
      <c r="AM30" s="2"/>
      <c r="AN30" s="2"/>
      <c r="AO30" s="2"/>
      <c r="AP30" s="2"/>
      <c r="AQ30" s="2"/>
      <c r="AR30" s="2"/>
      <c r="AS30" s="2"/>
      <c r="AT30" s="2"/>
      <c r="AU30" s="14"/>
      <c r="AV30" s="14"/>
      <c r="AW30" s="14"/>
      <c r="AX30" s="14"/>
      <c r="AY30" s="14"/>
      <c r="AZ30" s="14"/>
      <c r="BA30" s="14"/>
      <c r="BB30" s="14"/>
    </row>
    <row r="31" spans="1:54">
      <c r="A31" s="40"/>
      <c r="B31" s="36" t="s">
        <v>92</v>
      </c>
      <c r="C31" s="2">
        <v>0</v>
      </c>
      <c r="D31" s="2">
        <v>0</v>
      </c>
      <c r="E31" s="2">
        <v>0</v>
      </c>
      <c r="F31" s="2">
        <v>0</v>
      </c>
      <c r="G31" s="2">
        <v>0</v>
      </c>
      <c r="H31" s="2">
        <v>0</v>
      </c>
      <c r="I31" s="2">
        <v>0</v>
      </c>
      <c r="J31" s="2">
        <v>0</v>
      </c>
      <c r="K31" s="2">
        <v>0</v>
      </c>
      <c r="L31" s="2">
        <v>0</v>
      </c>
      <c r="M31" s="2">
        <v>0</v>
      </c>
      <c r="N31" s="2">
        <v>0</v>
      </c>
      <c r="O31" s="2"/>
      <c r="P31" s="2"/>
      <c r="Q31" s="2"/>
      <c r="R31" s="2"/>
      <c r="S31" s="2"/>
      <c r="T31" s="2"/>
      <c r="U31" s="2"/>
      <c r="V31" s="2"/>
      <c r="W31" s="2">
        <v>1</v>
      </c>
      <c r="X31" s="2">
        <v>1</v>
      </c>
      <c r="Y31" s="2"/>
      <c r="Z31" s="2"/>
      <c r="AA31" s="2"/>
      <c r="AB31" s="2"/>
      <c r="AC31" s="2"/>
      <c r="AD31" s="2"/>
      <c r="AE31" s="2"/>
      <c r="AF31" s="2"/>
      <c r="AG31" s="2"/>
      <c r="AH31" s="2"/>
      <c r="AI31" s="2"/>
      <c r="AJ31" s="2" t="s">
        <v>93</v>
      </c>
      <c r="AK31" s="2"/>
      <c r="AL31" s="2" t="s">
        <v>94</v>
      </c>
      <c r="AM31" s="2"/>
      <c r="AN31" s="2"/>
      <c r="AO31" s="2" t="s">
        <v>95</v>
      </c>
      <c r="AP31" s="2"/>
      <c r="AQ31" s="2"/>
      <c r="AR31" s="2"/>
      <c r="AS31" s="2"/>
      <c r="AT31" s="2"/>
      <c r="AU31" s="14"/>
      <c r="AV31" s="14"/>
      <c r="AW31" s="14"/>
      <c r="AX31" s="14"/>
      <c r="AY31" s="14"/>
      <c r="AZ31" s="14"/>
      <c r="BA31" s="14"/>
      <c r="BB31" s="14"/>
    </row>
    <row r="32" spans="1:54">
      <c r="A32" s="41"/>
      <c r="B32" s="37"/>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33"/>
      <c r="AV32" s="33"/>
      <c r="AW32" s="33"/>
      <c r="AX32" s="33"/>
      <c r="AY32" s="33"/>
      <c r="AZ32" s="33"/>
      <c r="BA32" s="33"/>
      <c r="BB32" s="33"/>
    </row>
    <row r="33" spans="1:54" s="1" customFormat="1">
      <c r="A33" s="39" t="s">
        <v>84</v>
      </c>
      <c r="B33" s="36" t="s">
        <v>96</v>
      </c>
      <c r="C33" s="2">
        <v>2</v>
      </c>
      <c r="D33" s="2">
        <v>0</v>
      </c>
      <c r="E33" s="2">
        <v>0</v>
      </c>
      <c r="F33" s="2">
        <v>1</v>
      </c>
      <c r="G33" s="2">
        <v>0</v>
      </c>
      <c r="H33" s="2">
        <v>0</v>
      </c>
      <c r="I33" s="2">
        <v>4</v>
      </c>
      <c r="J33" s="2">
        <v>2</v>
      </c>
      <c r="K33" s="2">
        <v>0</v>
      </c>
      <c r="L33" s="2">
        <v>2</v>
      </c>
      <c r="M33" s="2">
        <v>1</v>
      </c>
      <c r="N33" s="2">
        <v>0</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14"/>
      <c r="AV33" s="14"/>
      <c r="AW33" s="14"/>
      <c r="AX33" s="14"/>
      <c r="AY33" s="14"/>
      <c r="AZ33" s="14"/>
      <c r="BA33" s="14"/>
      <c r="BB33" s="14"/>
    </row>
    <row r="34" spans="1:54" s="1" customFormat="1">
      <c r="A34" s="40"/>
      <c r="B34" s="36" t="s">
        <v>97</v>
      </c>
      <c r="C34" s="2">
        <v>0</v>
      </c>
      <c r="D34" s="2">
        <v>0</v>
      </c>
      <c r="E34" s="2">
        <v>0</v>
      </c>
      <c r="F34" s="2">
        <v>1</v>
      </c>
      <c r="G34" s="2">
        <v>0</v>
      </c>
      <c r="H34" s="2">
        <v>0</v>
      </c>
      <c r="I34" s="2">
        <v>0</v>
      </c>
      <c r="J34" s="2">
        <v>2</v>
      </c>
      <c r="K34" s="2">
        <v>4</v>
      </c>
      <c r="L34" s="2">
        <v>3</v>
      </c>
      <c r="M34" s="2">
        <v>3</v>
      </c>
      <c r="N34" s="2">
        <v>0</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14"/>
      <c r="AV34" s="14"/>
      <c r="AW34" s="14"/>
      <c r="AX34" s="14"/>
      <c r="AY34" s="14"/>
      <c r="AZ34" s="14"/>
      <c r="BA34" s="14"/>
      <c r="BB34" s="14"/>
    </row>
    <row r="35" spans="1:54" s="1" customFormat="1">
      <c r="A35" s="40"/>
      <c r="B35" s="36" t="s">
        <v>98</v>
      </c>
      <c r="C35" s="2">
        <v>0</v>
      </c>
      <c r="D35" s="2">
        <v>0</v>
      </c>
      <c r="E35" s="2">
        <v>0</v>
      </c>
      <c r="F35" s="2">
        <v>1</v>
      </c>
      <c r="G35" s="2">
        <v>0</v>
      </c>
      <c r="H35" s="2">
        <v>1</v>
      </c>
      <c r="I35" s="2">
        <v>0</v>
      </c>
      <c r="J35" s="2">
        <v>0</v>
      </c>
      <c r="K35" s="2">
        <v>0</v>
      </c>
      <c r="L35" s="2">
        <v>0</v>
      </c>
      <c r="M35" s="2">
        <v>0</v>
      </c>
      <c r="N35" s="2">
        <v>0</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14"/>
      <c r="AV35" s="14"/>
      <c r="AW35" s="14"/>
      <c r="AX35" s="14"/>
      <c r="AY35" s="14"/>
      <c r="AZ35" s="14"/>
      <c r="BA35" s="14"/>
      <c r="BB35" s="14"/>
    </row>
    <row r="36" spans="1:54" s="1" customFormat="1">
      <c r="A36" s="41"/>
      <c r="B36" s="36" t="s">
        <v>99</v>
      </c>
      <c r="C36" s="2">
        <v>0</v>
      </c>
      <c r="D36" s="2">
        <v>0</v>
      </c>
      <c r="E36" s="2">
        <v>0</v>
      </c>
      <c r="F36" s="2">
        <v>0</v>
      </c>
      <c r="G36" s="2">
        <v>0</v>
      </c>
      <c r="H36" s="2">
        <v>0</v>
      </c>
      <c r="I36" s="2">
        <v>0</v>
      </c>
      <c r="J36" s="2">
        <v>0</v>
      </c>
      <c r="K36" s="2">
        <v>0</v>
      </c>
      <c r="L36" s="2">
        <v>0</v>
      </c>
      <c r="M36" s="2">
        <v>0</v>
      </c>
      <c r="N36" s="2">
        <v>0</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c r="AV36" s="14"/>
      <c r="AW36" s="14"/>
      <c r="AX36" s="14"/>
      <c r="AY36" s="14"/>
      <c r="AZ36" s="14"/>
      <c r="BA36" s="14"/>
      <c r="BB36" s="14"/>
    </row>
    <row r="37" spans="1:54">
      <c r="AU37" s="34"/>
      <c r="AV37" s="34"/>
      <c r="AW37" s="34"/>
      <c r="AX37" s="34"/>
      <c r="AY37" s="34"/>
      <c r="AZ37" s="34"/>
      <c r="BA37" s="34"/>
      <c r="BB37" s="34"/>
    </row>
  </sheetData>
  <mergeCells count="13">
    <mergeCell ref="AD26:AG26"/>
    <mergeCell ref="AD27:AG27"/>
    <mergeCell ref="V26:Y26"/>
    <mergeCell ref="V27:Y27"/>
    <mergeCell ref="V25:Y25"/>
    <mergeCell ref="Z27:AC27"/>
    <mergeCell ref="Z26:AC26"/>
    <mergeCell ref="A2:A12"/>
    <mergeCell ref="A21:A23"/>
    <mergeCell ref="A13:A20"/>
    <mergeCell ref="A33:A36"/>
    <mergeCell ref="A28:A32"/>
    <mergeCell ref="A24:A27"/>
  </mergeCells>
  <pageMargins left="0.7" right="0.7" top="0.75" bottom="0.75" header="0.3" footer="0.3"/>
  <headerFooter>
    <oddHeader>&amp;L&amp;"Aptos"&amp;10&amp;K000000 Public&amp;1#_x000D_</oddHeader>
    <oddFooter>&amp;L_x000D_&amp;1#&amp;"Aptos"&amp;10&amp;K000000 External Sharing</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FFF6-CF46-444A-AC96-FC84AF0657DB}">
  <dimension ref="B1:G1"/>
  <sheetViews>
    <sheetView workbookViewId="0">
      <selection activeCell="F9" sqref="F9"/>
    </sheetView>
  </sheetViews>
  <sheetFormatPr defaultRowHeight="14.45"/>
  <sheetData>
    <row r="1" spans="2:7">
      <c r="B1" t="s">
        <v>100</v>
      </c>
      <c r="C1" t="s">
        <v>101</v>
      </c>
      <c r="D1" t="s">
        <v>102</v>
      </c>
      <c r="E1" t="s">
        <v>103</v>
      </c>
      <c r="F1" t="s">
        <v>104</v>
      </c>
      <c r="G1" t="s">
        <v>16</v>
      </c>
    </row>
  </sheetData>
  <pageMargins left="0.7" right="0.7" top="0.75" bottom="0.75" header="0.3" footer="0.3"/>
  <headerFooter>
    <oddHeader>&amp;L&amp;"Aptos"&amp;10&amp;K000000 Public&amp;1#_x000D_</oddHeader>
    <oddFooter>&amp;L_x000D_&amp;1#&amp;"Aptos"&amp;10&amp;K000000 External Sharing</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C4100-3FC4-4A27-87D7-2853DA067521}">
  <dimension ref="A1"/>
  <sheetViews>
    <sheetView workbookViewId="0"/>
  </sheetViews>
  <sheetFormatPr defaultRowHeight="14.45"/>
  <sheetData/>
  <pageMargins left="0.7" right="0.7" top="0.75" bottom="0.75" header="0.3" footer="0.3"/>
  <headerFooter>
    <oddHeader>&amp;L&amp;"Aptos"&amp;10&amp;K000000 Public&amp;1#_x000D_</oddHeader>
    <oddFooter>&amp;L_x000D_&amp;1#&amp;"Aptos"&amp;10&amp;K000000 External Sharing</oddFooter>
  </headerFooter>
</worksheet>
</file>

<file path=docMetadata/LabelInfo.xml><?xml version="1.0" encoding="utf-8"?>
<clbl:labelList xmlns:clbl="http://schemas.microsoft.com/office/2020/mipLabelMetadata">
  <clbl:label id="{6aa63785-644d-48f0-bdab-f17a05f6201a}" enabled="1" method="Standard" siteId="{0ac02500-802f-4a4c-bad2-7cd68064d701}"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Shashank Jha - Tecnoprism</dc:creator>
  <cp:keywords/>
  <dc:description/>
  <cp:lastModifiedBy>Priyanka Shinde - Tecnoprism</cp:lastModifiedBy>
  <cp:revision/>
  <dcterms:created xsi:type="dcterms:W3CDTF">2025-09-30T07:50:27Z</dcterms:created>
  <dcterms:modified xsi:type="dcterms:W3CDTF">2026-09-21T05:27:59Z</dcterms:modified>
  <cp:category/>
  <cp:contentStatus/>
</cp:coreProperties>
</file>