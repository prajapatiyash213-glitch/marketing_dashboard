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9A29C432-9E18-4487-8EF2-56FB6BF93BB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bscriptions" sheetId="1" r:id="rId1"/>
  </sheets>
  <definedNames>
    <definedName name="_xlnm._FilterDatabase" localSheetId="0" hidden="1">Subscriptions!$A$1:$K$12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D14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<sst xmlns="http://schemas.openxmlformats.org/spreadsheetml/2006/main" count="81" uniqueCount="51">
  <si>
    <t>Tool</t>
  </si>
  <si>
    <t>Category</t>
  </si>
  <si>
    <t>Owner</t>
  </si>
  <si>
    <t>Monthly Cost</t>
  </si>
  <si>
    <t>Billing Cycle</t>
  </si>
  <si>
    <t>Seats</t>
  </si>
  <si>
    <t>Renewal</t>
  </si>
  <si>
    <t>Cost per Cycle</t>
  </si>
  <si>
    <t>Currency</t>
  </si>
  <si>
    <t>Status</t>
  </si>
  <si>
    <t>Notes</t>
  </si>
  <si>
    <t>Apollo.io</t>
  </si>
  <si>
    <t>Data &amp; Outreach</t>
  </si>
  <si>
    <t>shashank.jha@tecnoprism.com</t>
  </si>
  <si>
    <t>Annual</t>
  </si>
  <si>
    <t>USD</t>
  </si>
  <si>
    <t>Active</t>
  </si>
  <si>
    <t>Base plan $4,284/yr. Add-on of $658.85 bought on 26 Aug 2026, taking the yearly cost to $5,712.</t>
  </si>
  <si>
    <t>Copy.ai</t>
  </si>
  <si>
    <t>Content</t>
  </si>
  <si>
    <t>Monthly</t>
  </si>
  <si>
    <t>Apr 2026</t>
  </si>
  <si>
    <t>Cancelled</t>
  </si>
  <si>
    <t>Subscription cancelled; ended Apr 2026.</t>
  </si>
  <si>
    <t>Freepik</t>
  </si>
  <si>
    <t>Images, PSDs, Designs</t>
  </si>
  <si>
    <t>INR</t>
  </si>
  <si>
    <t>Discount: ₹268</t>
  </si>
  <si>
    <t>List price ₹10,920, discount ₹2,184; ₹10,308.48 is the cost with tax.</t>
  </si>
  <si>
    <t>Canva</t>
  </si>
  <si>
    <t>Design</t>
  </si>
  <si>
    <t>Higgsfield</t>
  </si>
  <si>
    <t>AI Videos</t>
  </si>
  <si>
    <t>yash.prajapati@tecnoprism.com</t>
  </si>
  <si>
    <t>2 Years</t>
  </si>
  <si>
    <t>Jan 2028</t>
  </si>
  <si>
    <t>Bought Jan 2026 (card statement: HIGGSFIELD INC. US). Renewal month estimated from the 2-year term; exact date to confirm.</t>
  </si>
  <si>
    <t>Adobe CC</t>
  </si>
  <si>
    <t>ChatGPT Business</t>
  </si>
  <si>
    <t>AI Assistant</t>
  </si>
  <si>
    <t>shashank.jha@tecnoprism.com, marketing@tecnoprism.com</t>
  </si>
  <si>
    <t>Claude Pro</t>
  </si>
  <si>
    <t>Semrush (via SEOToolAdda)</t>
  </si>
  <si>
    <t>SEO</t>
  </si>
  <si>
    <t>Irregular</t>
  </si>
  <si>
    <t>Ad hoc</t>
  </si>
  <si>
    <t>Jailbreak/shared tool. No fixed billing cycle; at times 2–3 are bought at once.</t>
  </si>
  <si>
    <t>Magnific &amp; Envato (via Pixhub)</t>
  </si>
  <si>
    <t>AI Upscaling &amp; Stock Assets</t>
  </si>
  <si>
    <t>Total monthly (INR, active)</t>
  </si>
  <si>
    <t>Total monthly (USD,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</si>
</sst>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\₹#,##0.00"/>
  </numFmts>
  <fonts count="4" x14ac:knownFonts="1">
    <font>
      <sz val="11"/>
      <color theme="1"/>
      <name val="Calibri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sz val="12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165" fontId="2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vertical="top" wrapText="1"/>
    </xf>
    <xf numFmtId="166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horizontal="left" vertical="top"/>
    </xf>
    <xf numFmtId="166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horizontal="right"/>
    </xf>
    <xf numFmtId="166" fontId="1" fillId="0" borderId="1" xfId="0" applyNumberFormat="1" applyFont="1" applyBorder="1"/>
    <xf numFmtId="164" fontId="1" fillId="0" borderId="1" xfId="0" applyNumberFormat="1" applyFont="1" applyBorder="1"/>
    <xf numFmtId="0" fontId="1" fillId="0" borderId="0" xfId="0" applyFont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ont>
        <i/>
        <sz val="12"/>
        <color rgb="FF808080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ColWidth="8.6640625" defaultRowHeight="14.4" x14ac:dyDescent="0.3"/>
  <cols>
    <col min="1" max="1" width="30" customWidth="1"/>
    <col min="2" max="2" width="26" customWidth="1"/>
    <col min="3" max="3" width="34" customWidth="1"/>
    <col min="4" max="4" width="15" customWidth="1"/>
    <col min="5" max="5" width="14" customWidth="1"/>
    <col min="6" max="6" width="8" customWidth="1"/>
    <col min="7" max="7" width="13" customWidth="1"/>
    <col min="8" max="8" width="16" customWidth="1"/>
    <col min="9" max="9" width="10" customWidth="1"/>
    <col min="10" max="10" width="11" customWidth="1"/>
    <col min="11" max="11" width="58" customWidth="1"/>
  </cols>
  <sheetData>
    <row r="1" spans="1:11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.2" x14ac:dyDescent="0.3">
      <c r="A2" s="2" t="s">
        <v>11</v>
      </c>
      <c r="B2" s="3" t="s">
        <v>12</v>
      </c>
      <c r="C2" s="3" t="s">
        <v>13</v>
      </c>
      <c r="D2" s="4">
        <f t="shared" ref="D2:D12" si="0">IF(H2="","",IF(E2="Monthly",H2,IF(E2="Annual",H2/12,IF(E2="2 Years",H2/24,""))))</f>
        <v>476</v>
      </c>
      <c r="E2" s="2" t="s">
        <v>14</v>
      </c>
      <c r="F2" s="5"/>
      <c r="G2" s="6">
        <v>46428</v>
      </c>
      <c r="H2" s="7">
        <v>5712</v>
      </c>
      <c r="I2" s="2" t="s">
        <v>15</v>
      </c>
      <c r="J2" s="2" t="s">
        <v>16</v>
      </c>
      <c r="K2" s="3" t="s">
        <v>17</v>
      </c>
    </row>
    <row r="3" spans="1:11" ht="15.6" x14ac:dyDescent="0.3">
      <c r="A3" s="2" t="s">
        <v>18</v>
      </c>
      <c r="B3" s="3" t="s">
        <v>19</v>
      </c>
      <c r="C3" s="3"/>
      <c r="D3" s="4">
        <f t="shared" si="0"/>
        <v>29.4</v>
      </c>
      <c r="E3" s="2" t="s">
        <v>20</v>
      </c>
      <c r="F3" s="8"/>
      <c r="G3" s="9" t="s">
        <v>21</v>
      </c>
      <c r="H3" s="7">
        <v>29.4</v>
      </c>
      <c r="I3" s="2" t="s">
        <v>15</v>
      </c>
      <c r="J3" s="2" t="s">
        <v>22</v>
      </c>
      <c r="K3" s="3" t="s">
        <v>23</v>
      </c>
    </row>
    <row r="4" spans="1:11" ht="15.6" x14ac:dyDescent="0.3">
      <c r="A4" s="2" t="s">
        <v>24</v>
      </c>
      <c r="B4" s="3" t="s">
        <v>25</v>
      </c>
      <c r="C4" s="10"/>
      <c r="D4" s="11">
        <f t="shared" si="0"/>
        <v>1264.96</v>
      </c>
      <c r="E4" s="2" t="s">
        <v>20</v>
      </c>
      <c r="F4" s="5"/>
      <c r="G4" s="12"/>
      <c r="H4" s="13">
        <v>1264.96</v>
      </c>
      <c r="I4" s="2" t="s">
        <v>26</v>
      </c>
      <c r="J4" s="2" t="s">
        <v>16</v>
      </c>
      <c r="K4" s="3" t="s">
        <v>27</v>
      </c>
    </row>
    <row r="5" spans="1:11" ht="31.2" x14ac:dyDescent="0.3">
      <c r="A5" s="2" t="s">
        <v>24</v>
      </c>
      <c r="B5" s="3" t="s">
        <v>25</v>
      </c>
      <c r="C5" s="10"/>
      <c r="D5" s="11">
        <f t="shared" si="0"/>
        <v>859.04</v>
      </c>
      <c r="E5" s="2" t="s">
        <v>14</v>
      </c>
      <c r="F5" s="5"/>
      <c r="G5" s="12"/>
      <c r="H5" s="13">
        <v>10308.48</v>
      </c>
      <c r="I5" s="2" t="s">
        <v>26</v>
      </c>
      <c r="J5" s="2" t="s">
        <v>16</v>
      </c>
      <c r="K5" s="3" t="s">
        <v>28</v>
      </c>
    </row>
    <row r="6" spans="1:11" ht="15.6" x14ac:dyDescent="0.3">
      <c r="A6" s="2" t="s">
        <v>29</v>
      </c>
      <c r="B6" s="3" t="s">
        <v>30</v>
      </c>
      <c r="C6" s="3" t="s">
        <v>13</v>
      </c>
      <c r="D6" s="11">
        <f t="shared" si="0"/>
        <v>333.33333333333331</v>
      </c>
      <c r="E6" s="2" t="s">
        <v>14</v>
      </c>
      <c r="F6" s="5"/>
      <c r="G6" s="6">
        <v>46484</v>
      </c>
      <c r="H6" s="13">
        <v>4000</v>
      </c>
      <c r="I6" s="2" t="s">
        <v>26</v>
      </c>
      <c r="J6" s="2" t="s">
        <v>16</v>
      </c>
      <c r="K6" s="3"/>
    </row>
    <row r="7" spans="1:11" ht="46.8" x14ac:dyDescent="0.3">
      <c r="A7" s="2" t="s">
        <v>31</v>
      </c>
      <c r="B7" s="3" t="s">
        <v>32</v>
      </c>
      <c r="C7" s="3" t="s">
        <v>33</v>
      </c>
      <c r="D7" s="11">
        <f t="shared" si="0"/>
        <v>3574.25</v>
      </c>
      <c r="E7" s="2" t="s">
        <v>34</v>
      </c>
      <c r="F7" s="5"/>
      <c r="G7" s="12" t="s">
        <v>35</v>
      </c>
      <c r="H7" s="13">
        <v>85782</v>
      </c>
      <c r="I7" s="2" t="s">
        <v>26</v>
      </c>
      <c r="J7" s="2" t="s">
        <v>16</v>
      </c>
      <c r="K7" s="3" t="s">
        <v>36</v>
      </c>
    </row>
    <row r="8" spans="1:11" ht="15.6" x14ac:dyDescent="0.3">
      <c r="A8" s="2" t="s">
        <v>37</v>
      </c>
      <c r="B8" s="3" t="s">
        <v>30</v>
      </c>
      <c r="C8" s="3" t="s">
        <v>13</v>
      </c>
      <c r="D8" s="11">
        <f t="shared" si="0"/>
        <v>2300</v>
      </c>
      <c r="E8" s="2" t="s">
        <v>20</v>
      </c>
      <c r="F8" s="5"/>
      <c r="G8" s="12"/>
      <c r="H8" s="13">
        <v>2300</v>
      </c>
      <c r="I8" s="2" t="s">
        <v>26</v>
      </c>
      <c r="J8" s="2" t="s">
        <v>16</v>
      </c>
      <c r="K8" s="3"/>
    </row>
    <row r="9" spans="1:11" ht="31.2" x14ac:dyDescent="0.3">
      <c r="A9" s="2" t="s">
        <v>38</v>
      </c>
      <c r="B9" s="3" t="s">
        <v>39</v>
      </c>
      <c r="C9" s="3" t="s">
        <v>40</v>
      </c>
      <c r="D9" s="11">
        <f t="shared" si="0"/>
        <v>3600</v>
      </c>
      <c r="E9" s="2" t="s">
        <v>14</v>
      </c>
      <c r="F9" s="8">
        <v>2</v>
      </c>
      <c r="G9" s="6">
        <v>46598</v>
      </c>
      <c r="H9" s="13">
        <v>43200</v>
      </c>
      <c r="I9" s="2" t="s">
        <v>26</v>
      </c>
      <c r="J9" s="2" t="s">
        <v>16</v>
      </c>
      <c r="K9" s="3"/>
    </row>
    <row r="10" spans="1:11" ht="15.6" x14ac:dyDescent="0.3">
      <c r="A10" s="2" t="s">
        <v>41</v>
      </c>
      <c r="B10" s="3" t="s">
        <v>39</v>
      </c>
      <c r="C10" s="3" t="s">
        <v>33</v>
      </c>
      <c r="D10" s="11">
        <f t="shared" si="0"/>
        <v>1694.845</v>
      </c>
      <c r="E10" s="2" t="s">
        <v>14</v>
      </c>
      <c r="F10" s="8">
        <v>1</v>
      </c>
      <c r="G10" s="6">
        <v>46598</v>
      </c>
      <c r="H10" s="13">
        <v>20338.14</v>
      </c>
      <c r="I10" s="2" t="s">
        <v>26</v>
      </c>
      <c r="J10" s="2" t="s">
        <v>16</v>
      </c>
      <c r="K10" s="3"/>
    </row>
    <row r="11" spans="1:11" ht="31.2" x14ac:dyDescent="0.3">
      <c r="A11" s="2" t="s">
        <v>42</v>
      </c>
      <c r="B11" s="3" t="s">
        <v>43</v>
      </c>
      <c r="C11" s="10"/>
      <c r="D11" s="2" t="str">
        <f t="shared" si="0"/>
        <v/>
      </c>
      <c r="E11" s="2" t="s">
        <v>44</v>
      </c>
      <c r="F11" s="8"/>
      <c r="G11" s="9"/>
      <c r="H11" s="14"/>
      <c r="I11" s="2"/>
      <c r="J11" s="2" t="s">
        <v>45</v>
      </c>
      <c r="K11" s="3" t="s">
        <v>46</v>
      </c>
    </row>
    <row r="12" spans="1:11" ht="31.2" x14ac:dyDescent="0.3">
      <c r="A12" s="2" t="s">
        <v>47</v>
      </c>
      <c r="B12" s="3" t="s">
        <v>48</v>
      </c>
      <c r="C12" s="10"/>
      <c r="D12" s="2" t="str">
        <f t="shared" si="0"/>
        <v/>
      </c>
      <c r="E12" s="2" t="s">
        <v>44</v>
      </c>
      <c r="F12" s="8"/>
      <c r="G12" s="9"/>
      <c r="H12" s="14"/>
      <c r="I12" s="2"/>
      <c r="J12" s="2" t="s">
        <v>45</v>
      </c>
      <c r="K12" s="3" t="s">
        <v>46</v>
      </c>
    </row>
    <row r="14" spans="1:11" ht="15.6" x14ac:dyDescent="0.3">
      <c r="C14" s="15" t="s">
        <v>49</v>
      </c>
      <c r="D14" s="16">
        <f>SUMIFS(D2:D12,I2:I12,"INR",J2:J12,"Active")</f>
        <v>13626.428333333333</v>
      </c>
    </row>
    <row r="15" spans="1:11" ht="15.6" x14ac:dyDescent="0.3">
      <c r="C15" s="15" t="s">
        <v>50</v>
      </c>
      <c r="D15" s="17">
        <f>SUMIFS(D2:D12,I2:I12,"USD",J2:J12,"Active")</f>
        <v>476</v>
      </c>
    </row>
    <row r="17" spans="1:1" ht="15.6" x14ac:dyDescent="0.3">
      <c r="A17" s="18"/>
    </row>
    <row r="18" spans="1:1" ht="15.6" x14ac:dyDescent="0.3">
      <c r="A18" s="19"/>
    </row>
    <row r="19" spans="1:1" ht="15.6" x14ac:dyDescent="0.3">
      <c r="A19" s="20"/>
    </row>
    <row r="20" spans="1:1" ht="15.6" x14ac:dyDescent="0.3">
      <c r="A20" s="20"/>
    </row>
  </sheetData>
  <autoFilter ref="A1:K12" xr:uid="{00000000-0009-0000-0000-000000000000}"/>
  <conditionalFormatting sqref="A2:K12">
    <cfRule type="expression" dxfId="0" priority="2">
      <formula>$J2="Cancelled"</formula>
    </cfRule>
  </conditionalFormatting>
  <dataValidations count="3">
    <dataValidation type="list" allowBlank="1" sqref="E2:E12" xr:uid="{00000000-0002-0000-0000-000000000000}">
      <formula1>"Monthly,Annual,2 Years,Irregular"</formula1>
      <formula2>0</formula2>
    </dataValidation>
    <dataValidation type="list" allowBlank="1" sqref="J2:J12" xr:uid="{00000000-0002-0000-0000-000001000000}">
      <formula1>"Active,Cancelled,Ad hoc"</formula1>
      <formula2>0</formula2>
    </dataValidation>
    <dataValidation type="list" allowBlank="1" sqref="I2:I12" xr:uid="{00000000-0002-0000-0000-000002000000}">
      <formula1>"INR,USD"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Yashkumar Prajapati - Tecnoprism</cp:lastModifiedBy>
  <cp:revision>0</cp:revision>
  <dcterms:created xsi:type="dcterms:W3CDTF">2026-09-10T08:39:25Z</dcterms:created>
  <dcterms:modified xsi:type="dcterms:W3CDTF">2026-09-10T09:41:09Z</dcterms:modified>
  <dc:language>en-US</dc:language>
</cp:coreProperties>
</file>